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D:\素材库\作品库\24赛季初TTK\"/>
  <bookViews>
    <workbookView activeTab="4"/>
  </bookViews>
  <sheets>
    <sheet name="TTK排行榜" sheetId="1" state="hidden" r:id="rId3"/>
    <sheet name="容错率" sheetId="2" state="hidden" r:id="rId4"/>
    <sheet name="灵活性" sheetId="3" state="hidden" r:id="rId5"/>
    <sheet name="可视化曲线" sheetId="4" state="hidden" r:id="rId6"/>
    <sheet name="数据表2.0" sheetId="5" r:id="rId7"/>
    <sheet name="原TTK排行榜" sheetId="6" r:id="rId8"/>
    <sheet name="原容错率" sheetId="7" r:id="rId9"/>
    <sheet name="原灵活性" sheetId="8" r:id="rId10"/>
    <sheet name="原可视化曲线" sheetId="9" r:id="rId11"/>
  </sheets>
  <definedNames>
    <definedName name="_xlnm._FilterDatabase" localSheetId="4" hidden="1">数据表2.0!$A$5:$AI$5</definedName>
  </definedNames>
  <calcPr calcId="191029"/>
</workbook>
</file>

<file path=xl/sharedStrings.xml><?xml version="1.0" encoding="utf-8"?>
<sst xmlns="http://schemas.openxmlformats.org/spreadsheetml/2006/main" count="665" uniqueCount="665">
  <si>
    <t/>
  </si>
  <si>
    <t>APEX枪械实测数据表</t>
  </si>
  <si>
    <t>注意更新时间：APEX30下半赛季 2026年9月17日 by老葛你又在打电动</t>
  </si>
  <si>
    <t>最新武器增强</t>
  </si>
  <si>
    <t>最新武器削弱</t>
  </si>
  <si>
    <t>最新武器轮换</t>
  </si>
  <si>
    <t>武器列表</t>
  </si>
  <si>
    <t>单发伤害</t>
  </si>
  <si>
    <t>射速</t>
  </si>
  <si>
    <t>弹匣容量</t>
  </si>
  <si>
    <t>击杀必要子弹数（打胸）</t>
  </si>
  <si>
    <t>TTK（打胸）</t>
  </si>
  <si>
    <t>特殊属性</t>
  </si>
  <si>
    <t>→备注</t>
  </si>
  <si>
    <t>胸部</t>
  </si>
  <si>
    <t>腿部</t>
  </si>
  <si>
    <t>头部</t>
  </si>
  <si>
    <t>白甲
（150）</t>
  </si>
  <si>
    <t>蓝甲
（175）</t>
  </si>
  <si>
    <t>紫甲/金甲
（200）</t>
  </si>
  <si>
    <t>红甲
（225）</t>
  </si>
  <si>
    <t>伤害倍率</t>
  </si>
  <si>
    <t>具体数值</t>
  </si>
  <si>
    <t>兰伯特大招</t>
  </si>
  <si>
    <t>1.00x</t>
  </si>
  <si>
    <t>2.00x</t>
  </si>
  <si>
    <t>秒杀0.52s</t>
  </si>
  <si>
    <t>秒杀0.63s</t>
  </si>
  <si>
    <t>秒杀0.83s</t>
  </si>
  <si>
    <t>专注轻机枪</t>
  </si>
  <si>
    <t>无涡轮+冷启动</t>
  </si>
  <si>
    <t>0.90x</t>
  </si>
  <si>
    <t>1.25x</t>
  </si>
  <si>
    <t>36/40/44/48</t>
  </si>
  <si>
    <t>1.09s</t>
  </si>
  <si>
    <t>1.18s</t>
  </si>
  <si>
    <t>1.33s</t>
  </si>
  <si>
    <t>1.48s</t>
  </si>
  <si>
    <t>有涡轮+冷启动</t>
  </si>
  <si>
    <t>0.87s</t>
  </si>
  <si>
    <t>0.95s</t>
  </si>
  <si>
    <t>1.08s</t>
  </si>
  <si>
    <t>1.22s</t>
  </si>
  <si>
    <t>预热至最高射速</t>
  </si>
  <si>
    <t>0.62s</t>
  </si>
  <si>
    <t>0.68s</t>
  </si>
  <si>
    <t>0.80s</t>
  </si>
  <si>
    <t>0.93s</t>
  </si>
  <si>
    <t>L-star（空投）</t>
  </si>
  <si>
    <t>普通</t>
  </si>
  <si>
    <t>0.80x</t>
  </si>
  <si>
    <t>22/24/26/28</t>
  </si>
  <si>
    <t>0.72s</t>
  </si>
  <si>
    <t>0.92s</t>
  </si>
  <si>
    <t>1.02s</t>
  </si>
  <si>
    <t>1.12s</t>
  </si>
  <si>
    <t>彩弹</t>
  </si>
  <si>
    <t>26/28/30/32</t>
  </si>
  <si>
    <t>空投</t>
  </si>
  <si>
    <t>20~24</t>
  </si>
  <si>
    <t>17~19</t>
  </si>
  <si>
    <t>25~30</t>
  </si>
  <si>
    <t>固定28</t>
  </si>
  <si>
    <t>7~8</t>
  </si>
  <si>
    <t>8~9</t>
  </si>
  <si>
    <t>9~10</t>
  </si>
  <si>
    <t>10~11</t>
  </si>
  <si>
    <t>0.62s~0.72s</t>
  </si>
  <si>
    <t>0.72s~0.82s</t>
  </si>
  <si>
    <t>0.92s~1.02s</t>
  </si>
  <si>
    <t>猎兽冲锋枪</t>
  </si>
  <si>
    <t>全自动</t>
  </si>
  <si>
    <t>1.20x</t>
  </si>
  <si>
    <t>20/25/30/35</t>
  </si>
  <si>
    <t>0.61s</t>
  </si>
  <si>
    <t>0.76s</t>
  </si>
  <si>
    <t>0.83s</t>
  </si>
  <si>
    <t>0.99s</t>
  </si>
  <si>
    <t>5连发</t>
  </si>
  <si>
    <t>0.84s</t>
  </si>
  <si>
    <t>0.94s</t>
  </si>
  <si>
    <t>1.03s</t>
  </si>
  <si>
    <t>哈沃克</t>
  </si>
  <si>
    <t>0.75x</t>
  </si>
  <si>
    <t>18/21/25/29</t>
  </si>
  <si>
    <t>蓄力0.42s
0.63s秒杀</t>
  </si>
  <si>
    <t>蓄力0.42s
秒杀0.72s</t>
  </si>
  <si>
    <t>蓄力0.42s
秒杀0.99s</t>
  </si>
  <si>
    <t>EVA-8</t>
  </si>
  <si>
    <t>紫枪栓</t>
  </si>
  <si>
    <t>单颗7
满喷56
双发102</t>
  </si>
  <si>
    <t>0.59s</t>
  </si>
  <si>
    <t>0.89s</t>
  </si>
  <si>
    <t>1.20s</t>
  </si>
  <si>
    <t>双发扳机+紫枪栓</t>
  </si>
  <si>
    <t>0.70s</t>
  </si>
  <si>
    <t>1.40s</t>
  </si>
  <si>
    <t>双持 莫桑比克</t>
  </si>
  <si>
    <t>单颗17
满喷51</t>
  </si>
  <si>
    <t>单颗21
满喷63</t>
  </si>
  <si>
    <t>0.58s</t>
  </si>
  <si>
    <t>0.86s</t>
  </si>
  <si>
    <t>1.15s</t>
  </si>
  <si>
    <t>彩弹-紫枪栓</t>
  </si>
  <si>
    <t>0.54s</t>
  </si>
  <si>
    <t>0.81s</t>
  </si>
  <si>
    <t>复仇女神</t>
  </si>
  <si>
    <t>最高射速下</t>
  </si>
  <si>
    <t>1.30x</t>
  </si>
  <si>
    <t>20/24/28/32</t>
  </si>
  <si>
    <t>0.82s</t>
  </si>
  <si>
    <t>涡轮冷启动
（2枪后满射速）</t>
  </si>
  <si>
    <t>1.00s</t>
  </si>
  <si>
    <t>1.24s</t>
  </si>
  <si>
    <t>常规冷启动
(6枪后满射速)</t>
  </si>
  <si>
    <t>0.91s</t>
  </si>
  <si>
    <t>1.38s</t>
  </si>
  <si>
    <t>C.A.R冲锋枪</t>
  </si>
  <si>
    <t>干扰器</t>
  </si>
  <si>
    <t>打甲16
打肉14</t>
  </si>
  <si>
    <t>打甲13
打肉11</t>
  </si>
  <si>
    <t>打甲20
打肉18</t>
  </si>
  <si>
    <t>固定30</t>
  </si>
  <si>
    <t>0.64s</t>
  </si>
  <si>
    <t>0.69s</t>
  </si>
  <si>
    <t>0.96s</t>
  </si>
  <si>
    <t>锤击点</t>
  </si>
  <si>
    <t>打甲14
打肉16</t>
  </si>
  <si>
    <t>打甲11
打肉13</t>
  </si>
  <si>
    <t>打甲18
打肉20</t>
  </si>
  <si>
    <t>0.57s</t>
  </si>
  <si>
    <t>出空投</t>
  </si>
  <si>
    <t>20/23/26/30</t>
  </si>
  <si>
    <t>0.77s</t>
  </si>
  <si>
    <t>0.90s</t>
  </si>
  <si>
    <t>转换者冲锋枪</t>
  </si>
  <si>
    <t>18/20/22/26</t>
  </si>
  <si>
    <t>双发</t>
  </si>
  <si>
    <t>14*2</t>
  </si>
  <si>
    <t>11*2</t>
  </si>
  <si>
    <t>18*2</t>
  </si>
  <si>
    <t>0.65s</t>
  </si>
  <si>
    <t>0.78s</t>
  </si>
  <si>
    <t>1.05s</t>
  </si>
  <si>
    <t xml:space="preserve">平行步枪 </t>
  </si>
  <si>
    <t>19/23/27/29</t>
  </si>
  <si>
    <t>1.10s</t>
  </si>
  <si>
    <t>21/25/29/31</t>
  </si>
  <si>
    <t>双持P2020</t>
  </si>
  <si>
    <t>18/20/22/24</t>
  </si>
  <si>
    <t>1.14s</t>
  </si>
  <si>
    <t>打甲23
打肉26</t>
  </si>
  <si>
    <t>打甲21
打肉23</t>
  </si>
  <si>
    <t>打甲29
打肉33</t>
  </si>
  <si>
    <t>R-99</t>
  </si>
  <si>
    <t>18/21/24/27</t>
  </si>
  <si>
    <t>0.66s</t>
  </si>
  <si>
    <t>暴走轻机枪</t>
  </si>
  <si>
    <t>充能</t>
  </si>
  <si>
    <t>0.85x</t>
  </si>
  <si>
    <t>28/32/34/40</t>
  </si>
  <si>
    <t xml:space="preserve"> 0.77s</t>
  </si>
  <si>
    <t>1.07s</t>
  </si>
  <si>
    <t>1.42s</t>
  </si>
  <si>
    <t>R-301</t>
  </si>
  <si>
    <t>21/23/28/31</t>
  </si>
  <si>
    <t>0.67s</t>
  </si>
  <si>
    <t>0.97s</t>
  </si>
  <si>
    <t>1.04s</t>
  </si>
  <si>
    <t>喷火轻机枪</t>
  </si>
  <si>
    <t>35/40/45/50</t>
  </si>
  <si>
    <t>0.88s</t>
  </si>
  <si>
    <t>RE-45</t>
  </si>
  <si>
    <t>15/18/21/24</t>
  </si>
  <si>
    <t>蓄力0.39s
秒杀0.74s</t>
  </si>
  <si>
    <t>蓄力0.39s
秒杀0.78s</t>
  </si>
  <si>
    <t>蓄力0.39s
秒杀1.07s</t>
  </si>
  <si>
    <t>电能冲锋枪</t>
  </si>
  <si>
    <t>20/22/24/27</t>
  </si>
  <si>
    <t>0.85s</t>
  </si>
  <si>
    <t>1.01s</t>
  </si>
  <si>
    <t>22/24/26/29</t>
  </si>
  <si>
    <t>小帮手</t>
  </si>
  <si>
    <t>默认</t>
  </si>
  <si>
    <t>1.5x</t>
  </si>
  <si>
    <t>固定75</t>
  </si>
  <si>
    <t>5/6/7/8</t>
  </si>
  <si>
    <t>1.43s</t>
  </si>
  <si>
    <t>7/8/9/10</t>
  </si>
  <si>
    <t>赫姆洛克</t>
  </si>
  <si>
    <t>1.40x</t>
  </si>
  <si>
    <t>18/20/22/25</t>
  </si>
  <si>
    <t>1.31s</t>
  </si>
  <si>
    <t>/</t>
  </si>
  <si>
    <t>榴弹</t>
  </si>
  <si>
    <t>每30s一发</t>
  </si>
  <si>
    <t>3030连发枪（进空投）</t>
  </si>
  <si>
    <t>首发满蓄力</t>
  </si>
  <si>
    <t>51~71</t>
  </si>
  <si>
    <t>43~60</t>
  </si>
  <si>
    <t>71~99</t>
  </si>
  <si>
    <t>固定10发</t>
  </si>
  <si>
    <t>1.35s</t>
  </si>
  <si>
    <t>1.72s</t>
  </si>
  <si>
    <t>开镜蓄力时间：
0.4s→0.25s</t>
  </si>
  <si>
    <t>腰射粉碎帽</t>
  </si>
  <si>
    <t>单发伤害8
弹丸数量7
满喷伤害56</t>
  </si>
  <si>
    <t>单发伤害10
弹丸数量7
满喷伤害70</t>
  </si>
  <si>
    <t>波塞克</t>
  </si>
  <si>
    <t>满弦</t>
  </si>
  <si>
    <t>1.50x</t>
  </si>
  <si>
    <t>默认40→60
琉雀50→70</t>
  </si>
  <si>
    <t>1.74s</t>
  </si>
  <si>
    <t>2.61s</t>
  </si>
  <si>
    <t>2.10s</t>
  </si>
  <si>
    <t>充能手雷+满弦</t>
  </si>
  <si>
    <t>50+爆炸25</t>
  </si>
  <si>
    <t>40+爆炸25</t>
  </si>
  <si>
    <t>75+爆炸25</t>
  </si>
  <si>
    <t>G7侦查枪（出空投）</t>
  </si>
  <si>
    <t>单发</t>
  </si>
  <si>
    <t>1.45x</t>
  </si>
  <si>
    <t>10/12/14/16</t>
  </si>
  <si>
    <t>1.25s</t>
  </si>
  <si>
    <t>1.44s</t>
  </si>
  <si>
    <t>0.98s</t>
  </si>
  <si>
    <t>獒犬</t>
  </si>
  <si>
    <t>单颗19
弹丸数量5
满喷95</t>
  </si>
  <si>
    <t>1.52s</t>
  </si>
  <si>
    <t>三重狙击枪</t>
  </si>
  <si>
    <t>开镜</t>
  </si>
  <si>
    <t>单颗22
满喷66</t>
  </si>
  <si>
    <t>单颗33
满喷99</t>
  </si>
  <si>
    <t>6/7/8/10
→6/7/9/10</t>
  </si>
  <si>
    <t>1.56s→1.34s</t>
  </si>
  <si>
    <t>2.33s→2.00s</t>
  </si>
  <si>
    <t>1.30s→1.11s</t>
  </si>
  <si>
    <t>1.96s→1.67s</t>
  </si>
  <si>
    <t>腰射（更快射速）</t>
  </si>
  <si>
    <t>1.68s</t>
  </si>
  <si>
    <t>充能步枪
（伤害随距离递增）</t>
  </si>
  <si>
    <t>连发模式</t>
  </si>
  <si>
    <t>45~59
→56~83
80m~200m</t>
  </si>
  <si>
    <t>41~53
→50~74
80m~200m</t>
  </si>
  <si>
    <t>1.80x</t>
  </si>
  <si>
    <t>81~106
→101~149
80m~200m</t>
  </si>
  <si>
    <t>6/7/8/9</t>
  </si>
  <si>
    <t>3~4
→2~3</t>
  </si>
  <si>
    <t>3~4</t>
  </si>
  <si>
    <t>4~5
→3~4</t>
  </si>
  <si>
    <t>4~5
→3~5</t>
  </si>
  <si>
    <t>0.72s~1.43s</t>
  </si>
  <si>
    <t>1.43s~2.15s</t>
  </si>
  <si>
    <t>1.43s~2.87s</t>
  </si>
  <si>
    <t>90~132</t>
  </si>
  <si>
    <t>TTK不计算首发的蓄力时间
普通状态蓄力时间：0.69s
连发状态蓄力时间：0.30s</t>
  </si>
  <si>
    <t>4/5/6/7</t>
  </si>
  <si>
    <t>0.60s~1.20s</t>
  </si>
  <si>
    <t>1.20s~1.78s</t>
  </si>
  <si>
    <t>1.20s~2.38s</t>
  </si>
  <si>
    <t>普通模式</t>
  </si>
  <si>
    <t>75~99
→75~110
80m~200m</t>
  </si>
  <si>
    <t>67~89
→61~99
80m~200m</t>
  </si>
  <si>
    <t>135~178
→135~198
80m~200m</t>
  </si>
  <si>
    <t>2~3</t>
  </si>
  <si>
    <t>1.46s~2.20s</t>
  </si>
  <si>
    <t>2.20s~2.91s</t>
  </si>
  <si>
    <t>75~99</t>
  </si>
  <si>
    <t>1.22s~1.83s</t>
  </si>
  <si>
    <t>1.83s~2.43s</t>
  </si>
  <si>
    <t>长弓</t>
  </si>
  <si>
    <t>1.8x</t>
  </si>
  <si>
    <t>固定108</t>
  </si>
  <si>
    <t>6/8/10/12</t>
  </si>
  <si>
    <t>1.57s</t>
  </si>
  <si>
    <t>2.30s</t>
  </si>
  <si>
    <t>5/6/8/10</t>
  </si>
  <si>
    <t>1.97s</t>
  </si>
  <si>
    <t>8/10/12/14</t>
  </si>
  <si>
    <t>和平捍卫者</t>
  </si>
  <si>
    <t>单颗11
满喷99</t>
  </si>
  <si>
    <t>1.06s</t>
  </si>
  <si>
    <t>2.12s</t>
  </si>
  <si>
    <t>紫枪栓+干扰器</t>
  </si>
  <si>
    <t>打甲单颗12
打甲满喷107</t>
  </si>
  <si>
    <t>克雷贝尔（空投）</t>
  </si>
  <si>
    <t>固定210</t>
  </si>
  <si>
    <t>0s</t>
  </si>
  <si>
    <t>2.15s</t>
  </si>
  <si>
    <t>万蒂奇大招</t>
  </si>
  <si>
    <t>首发50
后续125</t>
  </si>
  <si>
    <t>首发75
后续187</t>
  </si>
  <si>
    <t>1.28s</t>
  </si>
  <si>
    <t>2.62s</t>
  </si>
  <si>
    <t>哨兵狙击枪</t>
  </si>
  <si>
    <t>充电</t>
  </si>
  <si>
    <t>1.34s</t>
  </si>
  <si>
    <t>2.72s</t>
  </si>
  <si>
    <t>3/4/5/6</t>
  </si>
  <si>
    <t>1.32s</t>
  </si>
  <si>
    <t>2.69s</t>
  </si>
  <si>
    <t>3.21s</t>
  </si>
  <si>
    <t>4.81s</t>
  </si>
  <si>
    <t>4.00s</t>
  </si>
  <si>
    <t>请注意更新日期：APEX30上半赛季 2026年2月10日（只更新了冲锋枪）</t>
  </si>
  <si>
    <t>武器类型</t>
  </si>
  <si>
    <t>武器名称</t>
  </si>
  <si>
    <t>最大弹容量</t>
  </si>
  <si>
    <t xml:space="preserve"> 秒杀紫甲
所需子弹数</t>
  </si>
  <si>
    <t>备注</t>
  </si>
  <si>
    <t>冲锋枪</t>
  </si>
  <si>
    <t>紫弹匣1.84秒
蓝弹匣1.41秒</t>
  </si>
  <si>
    <t xml:space="preserve"> C.A.R冲锋枪</t>
  </si>
  <si>
    <t>RE45</t>
  </si>
  <si>
    <t>P2020（单持）</t>
  </si>
  <si>
    <t>步枪</t>
  </si>
  <si>
    <t>平行步枪</t>
  </si>
  <si>
    <t>预热4枪（MAX）</t>
  </si>
  <si>
    <t>冷启动</t>
  </si>
  <si>
    <t>机枪</t>
  </si>
  <si>
    <t>L-star（极限）</t>
  </si>
  <si>
    <t>L-star</t>
  </si>
  <si>
    <t>涡轮</t>
  </si>
  <si>
    <t>霰弹枪</t>
  </si>
  <si>
    <t>莫桑比克（双持）</t>
  </si>
  <si>
    <t>彩弹+紫枪栓</t>
  </si>
  <si>
    <t>莫桑比克（单持）</t>
  </si>
  <si>
    <t>神射手</t>
  </si>
  <si>
    <t>波赛克</t>
  </si>
  <si>
    <t>充能手雷</t>
  </si>
  <si>
    <t>未充手雷</t>
  </si>
  <si>
    <t>腰射</t>
  </si>
  <si>
    <t>G7侦查枪</t>
  </si>
  <si>
    <t>3030连发枪</t>
  </si>
  <si>
    <t>狙击枪</t>
  </si>
  <si>
    <t>充能步枪（200m）</t>
  </si>
  <si>
    <t>连发
（计算首发蓄力）</t>
  </si>
  <si>
    <t>充能步枪（50m）</t>
  </si>
  <si>
    <t>注意更新时间：APEX27 上半赛季 2025年11月3日更新</t>
  </si>
  <si>
    <t>枪械类型</t>
  </si>
  <si>
    <t>切枪</t>
  </si>
  <si>
    <t>换弹</t>
  </si>
  <si>
    <t>移速</t>
  </si>
  <si>
    <t>2.06s</t>
  </si>
  <si>
    <t>双持P2020（空投）</t>
  </si>
  <si>
    <t>2.08s</t>
  </si>
  <si>
    <t>0.53s</t>
  </si>
  <si>
    <t>1.96s</t>
  </si>
  <si>
    <t>0.56s</t>
  </si>
  <si>
    <t>2.3s</t>
  </si>
  <si>
    <t>2.0s</t>
  </si>
  <si>
    <t>2.25s</t>
  </si>
  <si>
    <t>1.80s</t>
  </si>
  <si>
    <t>双持莫桑比克</t>
  </si>
  <si>
    <t>0.48s</t>
  </si>
  <si>
    <t>2.60s</t>
  </si>
  <si>
    <t>0.39s</t>
  </si>
  <si>
    <t>2.27s</t>
  </si>
  <si>
    <t>2.78s</t>
  </si>
  <si>
    <t>0.52s</t>
  </si>
  <si>
    <t>2.23s</t>
  </si>
  <si>
    <t>3.07s</t>
  </si>
  <si>
    <t>双发装填</t>
  </si>
  <si>
    <t>2.18s</t>
  </si>
  <si>
    <t>0.63s</t>
  </si>
  <si>
    <t>3.33s</t>
  </si>
  <si>
    <t>3.31s</t>
  </si>
  <si>
    <t>3.20s</t>
  </si>
  <si>
    <t>3.10s</t>
  </si>
  <si>
    <t>0.73s</t>
  </si>
  <si>
    <t>2.85s</t>
  </si>
  <si>
    <t>3.00s</t>
  </si>
  <si>
    <t>3.16s</t>
  </si>
  <si>
    <t>3.6s</t>
  </si>
  <si>
    <t>4.20s</t>
  </si>
  <si>
    <t>3.06s</t>
  </si>
  <si>
    <t>0.71s</t>
  </si>
  <si>
    <t>3s</t>
  </si>
  <si>
    <t>金枪托</t>
  </si>
  <si>
    <t>三重狙击枪（空投）</t>
  </si>
  <si>
    <t>3.4s</t>
  </si>
  <si>
    <t>6发：2.35s
10发：3.63s</t>
  </si>
  <si>
    <t>1.58s</t>
  </si>
  <si>
    <t>0.75s</t>
  </si>
  <si>
    <t>开镜74.0%
拉弓43.5%</t>
  </si>
  <si>
    <t>开镜85.0%
拉弓50.0%</t>
  </si>
  <si>
    <t>3.66s</t>
  </si>
  <si>
    <t>充能步枪</t>
  </si>
  <si>
    <t>4.6s</t>
  </si>
  <si>
    <t>4.1s</t>
  </si>
  <si>
    <t>APEX数据可视化——命中率-TTK曲线（原始数据）（尚未更新）</t>
  </si>
  <si>
    <t>冲锋枪/手枪</t>
  </si>
  <si>
    <t>R99冲锋枪
（紫扩27）</t>
  </si>
  <si>
    <t>命中率</t>
  </si>
  <si>
    <t>紫甲TTK</t>
  </si>
  <si>
    <t>打出子弹</t>
  </si>
  <si>
    <t>CAR冲锋枪
（紫扩28）</t>
  </si>
  <si>
    <t>五连发猎兽
（紫扩35）</t>
  </si>
  <si>
    <t>全自动猎兽
（紫扩35）</t>
  </si>
  <si>
    <t>彩弹-电能冲锋枪
（紫扩27）</t>
  </si>
  <si>
    <t>电能冲锋枪
（紫扩29）</t>
  </si>
  <si>
    <t>转换者冲锋枪
（紫扩29）</t>
  </si>
  <si>
    <t>空投双持P2020
（固定22）</t>
  </si>
  <si>
    <t>单持P2020
（紫扩11）</t>
  </si>
  <si>
    <t>精英RE45
（紫扩27）</t>
  </si>
  <si>
    <t>双持莫桑比克
（紫栓）</t>
  </si>
  <si>
    <t>单持莫桑比克
（紫栓）</t>
  </si>
  <si>
    <t>EVA-8
（紫栓8发）</t>
  </si>
  <si>
    <t>彩弹-EVA-8
（紫栓9发）</t>
  </si>
  <si>
    <t>和平捍卫者
（紫栓）</t>
  </si>
  <si>
    <t>獒犬
（紫栓）</t>
  </si>
  <si>
    <t>彩弹-獒犬
（紫栓）</t>
  </si>
  <si>
    <t>哈沃克
   （紫扩29）</t>
  </si>
  <si>
    <t>平行步枪
   （紫扩29）</t>
  </si>
  <si>
    <t>R301
   （紫扩31）</t>
  </si>
  <si>
    <t>复仇女神
   冷启动
   （紫扩32）</t>
  </si>
  <si>
    <t>复仇女神
   满预热
   （紫扩32）</t>
  </si>
  <si>
    <t>赫姆洛克
   （紫扩30）</t>
  </si>
  <si>
    <t>普通专注
   （紫扩48）</t>
  </si>
  <si>
    <t>紫甲TTK（秒）</t>
  </si>
  <si>
    <t>涡轮专注
   （紫扩48）</t>
  </si>
  <si>
    <t>喷火轻机枪
   （紫扩50）</t>
  </si>
  <si>
    <t>彩弹-喷火轻机枪
   （紫扩52）</t>
  </si>
  <si>
    <t>普通暴走
   （紫扩40）</t>
  </si>
  <si>
    <t>充能暴走
   （紫扩40）</t>
  </si>
  <si>
    <t>L-star
   （紫扩28）</t>
  </si>
  <si>
    <t>三重狙击枪
（固定12）</t>
  </si>
  <si>
    <t>G7侦查枪
（紫扩20）</t>
  </si>
  <si>
    <t>3030连发枪
（紫扩10）</t>
  </si>
  <si>
    <t>波赛克
（备弹40）</t>
  </si>
  <si>
    <t>小帮手
（紫扩8）</t>
  </si>
  <si>
    <t>长弓狙击枪
（紫扩12）</t>
  </si>
  <si>
    <t>普通哨兵
（紫扩7）</t>
  </si>
  <si>
    <t>充电哨兵
（紫扩7）</t>
  </si>
  <si>
    <t>充能步枪
连发 200m
（紫扩9）</t>
  </si>
  <si>
    <t>APEX枪械数据表2.0</t>
  </si>
  <si>
    <t>注意更新时间：APEX30下半赛季 2026年10月4日 by老葛你又在打电动</t>
  </si>
  <si>
    <t>序号</t>
  </si>
  <si>
    <t>项目</t>
  </si>
  <si>
    <t>伤害</t>
  </si>
  <si>
    <t>容错</t>
  </si>
  <si>
    <t>操控</t>
  </si>
  <si>
    <t>TTK/秒
（打胸）</t>
  </si>
  <si>
    <t>DPS
（打胸）</t>
  </si>
  <si>
    <t>弹匣总伤</t>
  </si>
  <si>
    <t>容错率
（打胸+紫弹匣）</t>
  </si>
  <si>
    <t>TTM/秒
（打胸+紫弹匣）</t>
  </si>
  <si>
    <t>换弹速度/秒</t>
  </si>
  <si>
    <t>武器控制
(紫枪托+紫镭射/紫枪管）</t>
  </si>
  <si>
    <t>其他</t>
  </si>
  <si>
    <t>排名</t>
  </si>
  <si>
    <t>子弹类型</t>
  </si>
  <si>
    <t>武器种类</t>
  </si>
  <si>
    <t>武器名称+状态</t>
  </si>
  <si>
    <t>腿部倍率</t>
  </si>
  <si>
    <t>腿部伤害</t>
  </si>
  <si>
    <t>头部倍率</t>
  </si>
  <si>
    <t>头部伤害</t>
  </si>
  <si>
    <t>紫甲
（200）</t>
  </si>
  <si>
    <t>RPM</t>
  </si>
  <si>
    <t>白甲TTK
（150）</t>
  </si>
  <si>
    <t>蓝甲TTK
（175）</t>
  </si>
  <si>
    <t>紫甲TTK
（200）</t>
  </si>
  <si>
    <t>红甲TTK
（225）</t>
  </si>
  <si>
    <t>每秒伤害</t>
  </si>
  <si>
    <t>无弹匣</t>
  </si>
  <si>
    <t>白弹匣</t>
  </si>
  <si>
    <t>蓝弹匣</t>
  </si>
  <si>
    <t>紫弹匣</t>
  </si>
  <si>
    <t>紫弹匣
（胸部）</t>
  </si>
  <si>
    <t>紫甲容错率
（200）</t>
  </si>
  <si>
    <t>紫甲TTM
（200）</t>
  </si>
  <si>
    <t>空仓换弹速度</t>
  </si>
  <si>
    <t>战术换弹速度</t>
  </si>
  <si>
    <t>跑步移速</t>
  </si>
  <si>
    <t>腰射移速</t>
  </si>
  <si>
    <t>开镜移速</t>
  </si>
  <si>
    <t>后坐力控制</t>
  </si>
  <si>
    <t>腰射精准度</t>
  </si>
  <si>
    <t>武器操控</t>
  </si>
  <si>
    <t>技能</t>
  </si>
  <si>
    <t>轻机枪</t>
  </si>
  <si>
    <t>待测</t>
  </si>
  <si>
    <t>TTK不考虑蓄力时间</t>
  </si>
  <si>
    <t>能量</t>
  </si>
  <si>
    <t>专注轻机枪（预热至最高射速）</t>
  </si>
  <si>
    <t>重型</t>
  </si>
  <si>
    <t>猎兽冲锋枪（全自动）</t>
  </si>
  <si>
    <t>霰弹</t>
  </si>
  <si>
    <t>EVA-8（双发扳机+紫枪栓）</t>
  </si>
  <si>
    <t>组内间隔0.14s；组间间隔0.56s</t>
  </si>
  <si>
    <t>双持 莫桑比克（紫枪栓）</t>
  </si>
  <si>
    <t>复仇女神（最高射速下）</t>
  </si>
  <si>
    <t>轻型</t>
  </si>
  <si>
    <t>手枪</t>
  </si>
  <si>
    <t>双持P2020（锤击点）</t>
  </si>
  <si>
    <t>552~624</t>
  </si>
  <si>
    <t>EVA-8（紫枪栓）</t>
  </si>
  <si>
    <t>平行步枪（彩弹）</t>
  </si>
  <si>
    <t>平行步枪（普通）</t>
  </si>
  <si>
    <t>C.A.R冲锋枪（出空投）</t>
  </si>
  <si>
    <t>转换者冲锋枪（双发）</t>
  </si>
  <si>
    <t>每次射击射出两发子弹，单发伤害是两颗子弹的总和</t>
  </si>
  <si>
    <t>喷火轻机枪（普通）</t>
  </si>
  <si>
    <t>双持P2020（普通）</t>
  </si>
  <si>
    <t>复仇女神（涡轮冷启动（2枪后满射速））</t>
  </si>
  <si>
    <t>电能冲锋枪（彩弹）</t>
  </si>
  <si>
    <t>电能冲锋枪（普通）</t>
  </si>
  <si>
    <t>狙击</t>
  </si>
  <si>
    <t>小帮手（默认）</t>
  </si>
  <si>
    <t>专注轻机枪（有涡轮+冷启动）</t>
  </si>
  <si>
    <t>408~900</t>
  </si>
  <si>
    <t>109~240</t>
  </si>
  <si>
    <t>复仇女神（常规冷启动（6枪后满射速））</t>
  </si>
  <si>
    <t>转换者冲锋枪（普通）</t>
  </si>
  <si>
    <t>赫姆洛克（普通）</t>
  </si>
  <si>
    <t>暴走轻机枪（普通）</t>
  </si>
  <si>
    <t>G7侦查枪（单发；装备快速狙击枪托）</t>
  </si>
  <si>
    <t>专注轻机枪（无涡轮+冷启动）</t>
  </si>
  <si>
    <t>300~900</t>
  </si>
  <si>
    <t>80~240</t>
  </si>
  <si>
    <t>弓箭</t>
  </si>
  <si>
    <t>波塞克（充能手雷+满弦；装备快速狙击枪托）</t>
  </si>
  <si>
    <t>三重狙击枪（腰射（更快射速）；装备快速狙击枪托）</t>
  </si>
  <si>
    <t>G7侦查枪（出空投；单发）</t>
  </si>
  <si>
    <t>敖犬（紫枪栓）</t>
  </si>
  <si>
    <t>波塞克（充能手雷+满弦）</t>
  </si>
  <si>
    <t>三重狙击枪（开镜；装备快速狙击枪托）</t>
  </si>
  <si>
    <t>三重狙击枪（腰射（更快射速））</t>
  </si>
  <si>
    <t>长弓（普通；装备快速狙击枪托）</t>
  </si>
  <si>
    <t>波塞克（满弦；装备快速狙击枪托）</t>
  </si>
  <si>
    <t>三重狙击枪（开镜）</t>
  </si>
  <si>
    <t>长弓（普通）</t>
  </si>
  <si>
    <t>和平捍卫者（紫枪栓）</t>
  </si>
  <si>
    <t>波塞克（满弦）</t>
  </si>
  <si>
    <t>38~96</t>
  </si>
  <si>
    <t>300~675</t>
  </si>
  <si>
    <t>3030连发枪（进空投；腰射粉碎帽）</t>
  </si>
  <si>
    <t>腰射粉碎帽：单发伤害8；弹丸数量7；满喷伤害56</t>
  </si>
  <si>
    <t>3030连发枪（进空投；首发满蓄力）</t>
  </si>
  <si>
    <t>3030连发枪（进空投；普通）</t>
  </si>
  <si>
    <t>哨兵狙击枪（充电；装备快速狙击枪托）</t>
  </si>
  <si>
    <t>哨兵狙击枪（普通；装备快速狙击枪托）</t>
  </si>
  <si>
    <t>哨兵狙击枪（充电）</t>
  </si>
  <si>
    <t>哨兵狙击枪（普通）</t>
  </si>
  <si>
    <t>赫姆洛克（榴弹）</t>
  </si>
  <si>
    <t>30s/发</t>
  </si>
  <si>
    <t>0~38</t>
  </si>
  <si>
    <t>对人爆炸伤害0~38，距离越远伤害越低
对于硬光窗户和人造建筑的伤害增强</t>
  </si>
  <si>
    <t>0.62~0.72</t>
  </si>
  <si>
    <t>0.72~0.82</t>
  </si>
  <si>
    <t>0.82~0.92</t>
  </si>
  <si>
    <t>0.92~1.02</t>
  </si>
  <si>
    <t>200~240</t>
  </si>
  <si>
    <t>64.3%~67.9%</t>
  </si>
  <si>
    <t>1.80~1.90</t>
  </si>
  <si>
    <t>暴走轻机枪（充能）</t>
  </si>
  <si>
    <t>充能步枪（伤害随距离递增；连发模式；装备快速狙击枪托）</t>
  </si>
  <si>
    <t>56~83
80m~200m</t>
  </si>
  <si>
    <t>50~74
80m~200m</t>
  </si>
  <si>
    <t>101~149
80m~200m</t>
  </si>
  <si>
    <t>3~5</t>
  </si>
  <si>
    <t>0.60~1.20</t>
  </si>
  <si>
    <t>1.20~1.78</t>
  </si>
  <si>
    <t>1.20~2.38</t>
  </si>
  <si>
    <t>94~140</t>
  </si>
  <si>
    <t>392~581</t>
  </si>
  <si>
    <t>42.9%~57.1%</t>
  </si>
  <si>
    <t>2.40~1.80</t>
  </si>
  <si>
    <t>充能步枪（伤害随距离递增；连发模式）</t>
  </si>
  <si>
    <t>0.72~1.43</t>
  </si>
  <si>
    <t>1.43~2.15</t>
  </si>
  <si>
    <t>1.43~2.87</t>
  </si>
  <si>
    <t>78~116</t>
  </si>
  <si>
    <t>504~747</t>
  </si>
  <si>
    <t>55.6%~66.7%</t>
  </si>
  <si>
    <t>4.33~3.61</t>
  </si>
  <si>
    <t>充能步枪（伤害随距离递增；普通模式；装备快速狙击枪托）</t>
  </si>
  <si>
    <t>75~110
80m~200m</t>
  </si>
  <si>
    <t>61~99
80m~200m</t>
  </si>
  <si>
    <t>135~198
80m~200m</t>
  </si>
  <si>
    <t>1.22~1.83</t>
  </si>
  <si>
    <t>1.83~2.43</t>
  </si>
  <si>
    <t>68~99</t>
  </si>
  <si>
    <t>525~770</t>
  </si>
  <si>
    <t>57.1%~71.4%</t>
  </si>
  <si>
    <t>1.83~1.23</t>
  </si>
  <si>
    <t>充能步枪（伤害随距离递增；普通模式）</t>
  </si>
  <si>
    <t>1.46~2.20</t>
  </si>
  <si>
    <t>2.20~2.91</t>
  </si>
  <si>
    <t>55~81</t>
  </si>
  <si>
    <t>675~990</t>
  </si>
  <si>
    <t>66.7%~77.8%</t>
  </si>
  <si>
    <t>3.64~2.93</t>
  </si>
  <si>
    <t>猎兽冲锋枪（5连发）</t>
  </si>
  <si>
    <t>官标射速</t>
  </si>
  <si>
    <t>敖犬</t>
  </si>
  <si>
    <t>紫甲TTK
（201）</t>
  </si>
  <si>
    <r>
      <rPr>
        <rFont val="Microsoft YaHei"/>
        <b val="0"/>
        <i val="0"/>
        <strike val="0"/>
        <color rgb="FF175CEB"/>
        <sz val="14"/>
        <u/>
      </rPr>
      <t>点击传送APEX可视化曲线网站：https://oldcucumber.github.io/Apex_TTK-HIT_Curve/</t>
    </r>
  </si>
  <si>
    <r>
      <t xml:space="preserve">TTK排名
</t>
    </r>
    <r>
      <rPr>
        <rFont val="Microsoft YaHei"/>
        <charset val="134"/>
        <family val="3"/>
        <sz val="11"/>
      </rPr>
      <t>（紫甲）</t>
    </r>
    <phoneticPr fontId="1" type="noConversion"/>
  </si>
  <si>
    <r>
      <rPr>
        <rFont val="Microsoft YaHei"/>
        <b val="1"/>
        <i val="0"/>
        <strike val="0"/>
        <color rgb="FF000000"/>
        <sz val="16"/>
        <u val="none"/>
      </rPr>
      <t>DFS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1"/>
        <u val="none"/>
      </rPr>
      <t>第一秒内伤害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1"/>
        <u val="none"/>
      </rPr>
      <t>（打胸口）</t>
    </r>
  </si>
  <si>
    <r>
      <rPr>
        <rFont val="Microsoft YaHei"/>
        <b val="0"/>
        <i val="0"/>
        <strike val="0"/>
        <color rgb="FF000000"/>
        <sz val="11"/>
        <u val="none"/>
      </rPr>
      <t>秒杀</t>
    </r>
    <r>
      <rPr>
        <rFont val="Microsoft YaHei"/>
        <b val="1"/>
        <i val="0"/>
        <strike val="0"/>
        <color rgb="FF9A38D7"/>
        <sz val="11"/>
        <u val="none"/>
      </rPr>
      <t>0.73s</t>
    </r>
  </si>
  <si>
    <r>
      <rPr>
        <rFont val="Microsoft YaHei"/>
        <b val="1"/>
        <i val="0"/>
        <strike val="0"/>
        <color rgb="FF9A38D7"/>
        <sz val="11"/>
        <u val="none"/>
      </rPr>
      <t>0.82s</t>
    </r>
    <r>
      <rPr>
        <rFont val="Microsoft YaHei"/>
        <b val="0"/>
        <i val="0"/>
        <strike val="0"/>
        <color rgb="FF000000"/>
        <sz val="11"/>
        <u val="none"/>
      </rPr>
      <t>~0.92s</t>
    </r>
  </si>
  <si>
    <r>
      <rPr>
        <rFont val="Microsoft YaHei"/>
        <b val="0"/>
        <i val="0"/>
        <strike val="0"/>
        <color rgb="FF000000"/>
        <sz val="11"/>
        <u val="none"/>
      </rPr>
      <t>蓄力0.42s
秒杀</t>
    </r>
    <r>
      <rPr>
        <rFont val="Microsoft YaHei"/>
        <b val="1"/>
        <i val="0"/>
        <strike val="0"/>
        <color rgb="FF9A38D7"/>
        <sz val="11"/>
        <u val="none"/>
      </rPr>
      <t>0.83s</t>
    </r>
  </si>
  <si>
    <r>
      <rPr>
        <rFont val="Microsoft YaHei"/>
        <b val="0"/>
        <i val="0"/>
        <strike val="0"/>
        <color rgb="FF000000"/>
        <sz val="11"/>
        <u val="none"/>
      </rPr>
      <t>蓄力0.39s
秒杀</t>
    </r>
    <r>
      <rPr>
        <rFont val="Microsoft YaHei"/>
        <b val="1"/>
        <i val="0"/>
        <strike val="0"/>
        <color rgb="FF9A38D7"/>
        <sz val="11"/>
        <u val="none"/>
      </rPr>
      <t>0.99s</t>
    </r>
  </si>
  <si>
    <r>
      <rPr>
        <rFont val="Microsoft YaHei"/>
        <b val="0"/>
        <i val="0"/>
        <strike val="0"/>
        <color rgb="FF000000"/>
        <sz val="11"/>
        <u val="none"/>
      </rPr>
      <t xml:space="preserve">对人爆炸伤害0~38，距离越远伤害越低
对于硬光窗户和人造建筑的伤害增强
</t>
    </r>
    <r>
      <rPr>
        <rFont val="Microsoft YaHei"/>
        <b val="0"/>
        <i val="0"/>
        <strike val="0"/>
        <color rgb="FF319B62"/>
        <sz val="11"/>
        <u val="none"/>
      </rPr>
      <t>30赛季：削弱50%对于窗户和建筑的伤害</t>
    </r>
  </si>
  <si>
    <r>
      <rPr>
        <rFont val="Microsoft YaHei"/>
        <b val="0"/>
        <i val="0"/>
        <strike val="0"/>
        <color rgb="FFDE3C36"/>
        <sz val="12"/>
        <u val="none"/>
      </rPr>
      <t>每次充能后爆炸箭矢数量从 7 支→ 10 支</t>
    </r>
    <r>
      <rPr>
        <rFont val="Microsoft YaHei"/>
        <b val="0"/>
        <i val="0"/>
        <strike val="0"/>
        <color rgb="FF000000"/>
        <sz val="12"/>
        <u val="none"/>
      </rPr>
      <t xml:space="preserve">
普通射速0.87s每箭
加快射速0.70s每箭
左边TTK是卡着极限时间松箭的结果
考虑到人手不可能完美精准松手
实际TTK还要更加偏长一点</t>
    </r>
  </si>
  <si>
    <r>
      <rPr>
        <rFont val="Microsoft YaHei"/>
        <b val="0"/>
        <i val="0"/>
        <strike val="0"/>
        <color rgb="FF000000"/>
        <sz val="11"/>
        <u val="none"/>
      </rPr>
      <t xml:space="preserve">满弦
</t>
    </r>
    <r>
      <rPr>
        <rFont val="Microsoft YaHei"/>
        <b val="0"/>
        <i val="0"/>
        <strike val="0"/>
        <color rgb="FFDE3C36"/>
        <sz val="11"/>
        <u val="none"/>
      </rPr>
      <t>装备快速狙击枪托</t>
    </r>
  </si>
  <si>
    <r>
      <rPr>
        <rFont val="Microsoft YaHei"/>
        <b val="0"/>
        <i val="0"/>
        <strike val="0"/>
        <color rgb="FF000000"/>
        <sz val="11"/>
        <u val="none"/>
      </rPr>
      <t xml:space="preserve">充能手雷+满弦
</t>
    </r>
    <r>
      <rPr>
        <rFont val="Microsoft YaHei"/>
        <b val="0"/>
        <i val="0"/>
        <strike val="0"/>
        <color rgb="FFDE3C36"/>
        <sz val="11"/>
        <u val="none"/>
      </rPr>
      <t>装备快速狙击枪托</t>
    </r>
  </si>
  <si>
    <r>
      <rPr>
        <rFont val="Microsoft YaHei"/>
        <b val="0"/>
        <i val="0"/>
        <strike val="0"/>
        <color rgb="FF000000"/>
        <sz val="11"/>
        <u val="none"/>
      </rPr>
      <t xml:space="preserve">单发
</t>
    </r>
    <r>
      <rPr>
        <rFont val="Microsoft YaHei"/>
        <b val="0"/>
        <i val="0"/>
        <strike val="0"/>
        <color rgb="FFDE3C36"/>
        <sz val="11"/>
        <u val="none"/>
      </rPr>
      <t>装备快速狙击枪托</t>
    </r>
  </si>
  <si>
    <r>
      <rPr>
        <rFont val="Microsoft YaHei"/>
        <b val="0"/>
        <i val="0"/>
        <strike val="0"/>
        <color rgb="FF000000"/>
        <sz val="11"/>
        <u val="none"/>
      </rPr>
      <t xml:space="preserve">开镜
</t>
    </r>
    <r>
      <rPr>
        <rFont val="Microsoft YaHei"/>
        <b val="0"/>
        <i val="0"/>
        <strike val="0"/>
        <color rgb="FFDE3C36"/>
        <sz val="11"/>
        <u val="none"/>
      </rPr>
      <t>装备快速狙击枪托</t>
    </r>
  </si>
  <si>
    <r>
      <rPr>
        <rFont val="Microsoft YaHei"/>
        <b val="0"/>
        <i val="0"/>
        <strike val="0"/>
        <color rgb="FF000000"/>
        <sz val="11"/>
        <u val="none"/>
      </rPr>
      <t xml:space="preserve">腰射（更快射速）
</t>
    </r>
    <r>
      <rPr>
        <rFont val="Microsoft YaHei"/>
        <b val="0"/>
        <i val="0"/>
        <strike val="0"/>
        <color rgb="FFDE3C36"/>
        <sz val="11"/>
        <u val="none"/>
      </rPr>
      <t>装备快速狙击枪托</t>
    </r>
  </si>
  <si>
    <r>
      <rPr>
        <rFont val="Microsoft YaHei"/>
        <b val="0"/>
        <i val="0"/>
        <strike val="0"/>
        <color rgb="FF000000"/>
        <sz val="11"/>
        <u val="none"/>
      </rPr>
      <t xml:space="preserve">连发模式
</t>
    </r>
    <r>
      <rPr>
        <rFont val="Microsoft YaHei"/>
        <b val="0"/>
        <i val="0"/>
        <strike val="0"/>
        <color rgb="FFDE3C36"/>
        <sz val="11"/>
        <u val="none"/>
      </rPr>
      <t>装备快速狙击枪托</t>
    </r>
  </si>
  <si>
    <r>
      <rPr>
        <rFont val="Microsoft YaHei"/>
        <b val="0"/>
        <i val="0"/>
        <strike val="0"/>
        <color rgb="FF000000"/>
        <sz val="11"/>
        <u val="none"/>
      </rPr>
      <t xml:space="preserve">普通模式
</t>
    </r>
    <r>
      <rPr>
        <rFont val="Microsoft YaHei"/>
        <b val="0"/>
        <i val="0"/>
        <strike val="0"/>
        <color rgb="FFDE3C36"/>
        <sz val="11"/>
        <u val="none"/>
      </rPr>
      <t>装备快速狙击枪托</t>
    </r>
  </si>
  <si>
    <r>
      <rPr>
        <rFont val="Microsoft YaHei"/>
        <b val="0"/>
        <i val="0"/>
        <strike val="0"/>
        <color rgb="FF000000"/>
        <sz val="11"/>
        <u val="none"/>
      </rPr>
      <t xml:space="preserve">普通
</t>
    </r>
    <r>
      <rPr>
        <rFont val="Microsoft YaHei"/>
        <b val="0"/>
        <i val="0"/>
        <strike val="0"/>
        <color rgb="FFDE3C36"/>
        <sz val="11"/>
        <u val="none"/>
      </rPr>
      <t>装备快速狙击枪托</t>
    </r>
  </si>
  <si>
    <r>
      <rPr>
        <rFont val="Microsoft YaHei"/>
        <b val="0"/>
        <i val="0"/>
        <strike val="0"/>
        <color rgb="FF000000"/>
        <sz val="11"/>
        <u val="none"/>
      </rPr>
      <t xml:space="preserve">充电
</t>
    </r>
    <r>
      <rPr>
        <rFont val="Microsoft YaHei"/>
        <b val="0"/>
        <i val="0"/>
        <strike val="0"/>
        <color rgb="FFDE3C36"/>
        <sz val="11"/>
        <u val="none"/>
      </rPr>
      <t>装备快速狙击枪托</t>
    </r>
  </si>
  <si>
    <r>
      <rPr>
        <rFont val="Microsoft YaHei"/>
        <b val="1"/>
        <i val="0"/>
        <strike val="0"/>
        <color rgb="FF000000"/>
        <sz val="20"/>
        <u val="none"/>
      </rPr>
      <t>枪械容错率数据表</t>
    </r>
    <r>
      <rPr>
        <rFont val="Microsoft YaHei"/>
        <b val="0"/>
        <i val="0"/>
        <strike val="0"/>
        <color rgb="FF000000"/>
        <sz val="20"/>
        <u val="none"/>
      </rPr>
      <t xml:space="preserve">
</t>
    </r>
    <r>
      <rPr>
        <rFont val="Microsoft YaHei"/>
        <b val="0"/>
        <i val="0"/>
        <strike val="0"/>
        <color rgb="FF000000"/>
        <sz val="14"/>
        <u val="none"/>
      </rPr>
      <t>by老葛你又在打电动</t>
    </r>
  </si>
  <si>
    <r>
      <rPr>
        <rFont val="Microsoft YaHei"/>
        <b val="0"/>
        <i val="0"/>
        <strike val="0"/>
        <color rgb="FF000000"/>
        <sz val="14"/>
        <u val="none"/>
      </rPr>
      <t>TTM排名</t>
    </r>
    <r>
      <rPr>
        <rFont val="Microsoft YaHei"/>
        <b val="0"/>
        <i val="0"/>
        <strike val="0"/>
        <color rgb="FF000000"/>
        <sz val="11"/>
        <u val="none"/>
      </rPr>
      <t xml:space="preserve">
（越长越好）</t>
    </r>
  </si>
  <si>
    <r>
      <rPr>
        <rFont val="Microsoft YaHei"/>
        <b val="0"/>
        <i val="0"/>
        <strike val="0"/>
        <color rgb="FF000000"/>
        <sz val="14"/>
        <u val="none"/>
      </rPr>
      <t xml:space="preserve">紫甲TTK
</t>
    </r>
    <r>
      <rPr>
        <rFont val="Microsoft YaHei"/>
        <b val="0"/>
        <i val="0"/>
        <strike val="0"/>
        <color rgb="FF000000"/>
        <sz val="10"/>
        <u val="none"/>
      </rPr>
      <t>秒杀紫甲所需时间</t>
    </r>
  </si>
  <si>
    <r>
      <rPr>
        <rFont val="Microsoft YaHei"/>
        <b val="0"/>
        <i val="0"/>
        <strike val="0"/>
        <color rgb="FF000000"/>
        <sz val="14"/>
        <u val="none"/>
      </rPr>
      <t>紫甲秒杀容错率</t>
    </r>
    <r>
      <rPr>
        <rFont val="Microsoft YaHei"/>
        <b val="0"/>
        <i val="0"/>
        <strike val="0"/>
        <color rgb="FF000000"/>
        <sz val="11"/>
        <u val="none"/>
      </rPr>
      <t xml:space="preserve">
</t>
    </r>
    <r>
      <rPr>
        <rFont val="Microsoft YaHei"/>
        <b val="0"/>
        <i val="0"/>
        <strike val="0"/>
        <color rgb="FF000000"/>
        <sz val="10"/>
        <u val="none"/>
      </rPr>
      <t>一梭子能够马枪的子弹比例</t>
    </r>
  </si>
  <si>
    <r>
      <rPr>
        <rFont val="Microsoft YaHei"/>
        <b val="0"/>
        <i val="0"/>
        <strike val="0"/>
        <color rgb="FF000000"/>
        <sz val="14"/>
        <u val="none"/>
      </rPr>
      <t>紫甲TTM</t>
    </r>
    <r>
      <rPr>
        <rFont val="Microsoft YaHei"/>
        <b val="0"/>
        <i val="0"/>
        <strike val="0"/>
        <color rgb="FF000000"/>
        <sz val="11"/>
        <u val="none"/>
      </rPr>
      <t xml:space="preserve">
</t>
    </r>
    <r>
      <rPr>
        <rFont val="Microsoft YaHei"/>
        <b val="0"/>
        <i val="0"/>
        <strike val="0"/>
        <color rgb="FF000000"/>
        <sz val="10"/>
        <u val="none"/>
      </rPr>
      <t>一梭子能够马枪的绝对时间</t>
    </r>
  </si>
  <si>
    <r>
      <rPr>
        <rFont val="Microsoft YaHei"/>
        <b val="0"/>
        <i val="0"/>
        <strike val="0"/>
        <color rgb="FF000000"/>
        <sz val="11"/>
        <u val="none"/>
      </rPr>
      <t xml:space="preserve">旧：63% 1.88s
</t>
    </r>
    <r>
      <rPr>
        <rFont val="Microsoft YaHei"/>
        <b val="0"/>
        <i val="0"/>
        <strike val="0"/>
        <color rgb="FF319B62"/>
        <sz val="11"/>
        <u val="none"/>
      </rPr>
      <t>新：54% 1.39s</t>
    </r>
  </si>
  <si>
    <r>
      <rPr>
        <rFont val="Microsoft YaHei"/>
        <b val="0"/>
        <i val="0"/>
        <strike val="0"/>
        <color rgb="FF000000"/>
        <sz val="11"/>
        <u val="none"/>
      </rPr>
      <t xml:space="preserve">旧：53% 1.04s
</t>
    </r>
    <r>
      <rPr>
        <rFont val="Microsoft YaHei"/>
        <b val="0"/>
        <i val="0"/>
        <strike val="0"/>
        <color rgb="FF319B62"/>
        <sz val="11"/>
        <u val="none"/>
      </rPr>
      <t>新：38% 0.64s</t>
    </r>
  </si>
  <si>
    <r>
      <rPr>
        <rFont val="Microsoft YaHei"/>
        <b val="0"/>
        <i val="0"/>
        <strike val="0"/>
        <color rgb="FF000000"/>
        <sz val="11"/>
        <u val="none"/>
      </rPr>
      <t xml:space="preserve">旧：56% 1.13s
</t>
    </r>
    <r>
      <rPr>
        <rFont val="Microsoft YaHei"/>
        <b val="0"/>
        <i val="0"/>
        <strike val="0"/>
        <color rgb="FF319B62"/>
        <sz val="11"/>
        <u val="none"/>
      </rPr>
      <t>新：46% 0.91s</t>
    </r>
  </si>
  <si>
    <r>
      <rPr>
        <rFont val="Microsoft YaHei"/>
        <b val="0"/>
        <i val="0"/>
        <strike val="0"/>
        <color rgb="FF000000"/>
        <sz val="11"/>
        <u val="none"/>
      </rPr>
      <t xml:space="preserve">旧：41% 0.62s
</t>
    </r>
    <r>
      <rPr>
        <rFont val="Microsoft YaHei"/>
        <b val="0"/>
        <i val="0"/>
        <strike val="0"/>
        <color rgb="FF319B62"/>
        <sz val="11"/>
        <u val="none"/>
      </rPr>
      <t>新：37% 0.57s</t>
    </r>
  </si>
  <si>
    <r>
      <rPr>
        <rFont val="Microsoft YaHei"/>
        <b val="1"/>
        <i val="0"/>
        <strike val="0"/>
        <color rgb="FF000000"/>
        <sz val="26"/>
        <u val="none"/>
      </rPr>
      <t>枪械灵活性数据表</t>
    </r>
    <r>
      <rPr>
        <rFont val="Microsoft YaHei"/>
        <b val="0"/>
        <i val="0"/>
        <strike val="0"/>
        <color rgb="FF000000"/>
        <sz val="20"/>
        <u val="none"/>
      </rPr>
      <t xml:space="preserve">
</t>
    </r>
    <r>
      <rPr>
        <rFont val="Microsoft YaHei"/>
        <b val="0"/>
        <i val="0"/>
        <strike val="0"/>
        <color rgb="FF000000"/>
        <sz val="14"/>
        <u val="none"/>
      </rPr>
      <t>by老葛你又在打电动</t>
    </r>
  </si>
  <si>
    <r>
      <rPr>
        <rFont val="Microsoft YaHei"/>
        <b val="0"/>
        <i val="0"/>
        <strike val="0"/>
        <color rgb="FF000000"/>
        <sz val="12"/>
        <u val="none"/>
      </rPr>
      <t xml:space="preserve">掏枪时间
</t>
    </r>
    <r>
      <rPr>
        <rFont val="Microsoft YaHei"/>
        <b val="0"/>
        <i val="0"/>
        <strike val="0"/>
        <color rgb="FF000000"/>
        <sz val="10"/>
        <u val="none"/>
      </rPr>
      <t>尽量紫枪托</t>
    </r>
  </si>
  <si>
    <r>
      <rPr>
        <rFont val="Microsoft YaHei"/>
        <b val="0"/>
        <i val="0"/>
        <strike val="0"/>
        <color rgb="FF000000"/>
        <sz val="12"/>
        <u val="none"/>
      </rPr>
      <t>空仓换弹时间</t>
    </r>
    <r>
      <rPr>
        <rFont val="Microsoft YaHei"/>
        <b val="0"/>
        <i val="0"/>
        <strike val="0"/>
        <color rgb="FF000000"/>
        <sz val="11"/>
        <u val="none"/>
      </rPr>
      <t xml:space="preserve">
</t>
    </r>
    <r>
      <rPr>
        <rFont val="Microsoft YaHei"/>
        <b val="0"/>
        <i val="0"/>
        <strike val="0"/>
        <color rgb="FF000000"/>
        <sz val="10"/>
        <u val="none"/>
      </rPr>
      <t>尽量紫枪托</t>
    </r>
  </si>
  <si>
    <r>
      <rPr>
        <rFont val="Microsoft YaHei"/>
        <charset val="134"/>
        <family val="3"/>
        <sz val="12"/>
      </rPr>
      <t>腰射移速</t>
    </r>
    <r>
      <rPr>
        <rFont val="Microsoft YaHei"/>
        <charset val="134"/>
        <family val="3"/>
        <sz val="11"/>
      </rPr>
      <t xml:space="preserve">
</t>
    </r>
    <r>
      <rPr>
        <rFont val="Microsoft YaHei"/>
        <charset val="134"/>
        <family val="3"/>
        <sz val="10"/>
      </rPr>
      <t>走路速度为100%</t>
    </r>
    <phoneticPr fontId="1" type="noConversion"/>
  </si>
  <si>
    <r>
      <rPr>
        <rFont val="Microsoft YaHei"/>
        <charset val="134"/>
        <family val="3"/>
        <sz val="12"/>
      </rPr>
      <t>举镜移速</t>
    </r>
    <r>
      <rPr>
        <rFont val="Microsoft YaHei"/>
        <charset val="134"/>
        <family val="3"/>
        <sz val="11"/>
      </rPr>
      <t xml:space="preserve">
</t>
    </r>
    <r>
      <rPr>
        <rFont val="Microsoft YaHei"/>
        <charset val="134"/>
        <family val="3"/>
        <sz val="10"/>
      </rPr>
      <t>走路速度为100%</t>
    </r>
    <phoneticPr fontId="1" type="noConversion"/>
  </si>
  <si>
    <r>
      <rPr>
        <color rgb="FF175CEB"/>
        <sz val="16"/>
        <u/>
      </rPr>
      <t>点击传送：APEX可视化曲线网站</t>
    </r>
  </si>
  <si>
    <r>
      <t>持枪移速</t>
    </r>
    <r>
      <rPr>
        <rFont val="微软雅黑"/>
        <charset val="134"/>
        <b val="1"/>
        <color theme="0"/>
        <sz val="11"/>
      </rPr>
      <t xml:space="preserve">
</t>
    </r>
    <r>
      <rPr>
        <rFont val="微软雅黑"/>
        <charset val="134"/>
        <b val="1"/>
        <color theme="0"/>
        <sz val="10"/>
      </rPr>
      <t>以空手跑速299为100%基准</t>
    </r>
  </si>
  <si>
    <r>
      <rPr>
        <rFont val="Microsoft YaHei"/>
        <charset val="134"/>
        <color rgb="FF175CEB"/>
        <sz val="14"/>
        <u/>
      </rPr>
      <t>点击传送APEX可视化曲线网站：https://oldcucumber.github.io/Apex_TTK-HIT_Curve/</t>
    </r>
  </si>
  <si>
    <r>
      <rPr>
        <rFont val="Microsoft YaHei"/>
        <charset val="134"/>
        <sz val="14"/>
      </rPr>
      <t xml:space="preserve">TTK排名
</t>
    </r>
    <r>
      <rPr>
        <rFont val="Microsoft YaHei"/>
        <charset val="134"/>
        <sz val="11"/>
      </rPr>
      <t>（紫甲）</t>
    </r>
  </si>
  <si>
    <r>
      <rPr>
        <rFont val="Microsoft YaHei"/>
        <charset val="134"/>
        <b val="1"/>
        <color rgb="FF000000"/>
        <sz val="16"/>
      </rPr>
      <t>DFS</t>
    </r>
    <r>
      <rPr>
        <rFont val="Microsoft YaHei"/>
        <charset val="134"/>
        <color rgb="FF000000"/>
        <sz val="12"/>
      </rPr>
      <t xml:space="preserve">
</t>
    </r>
    <r>
      <rPr>
        <rFont val="Microsoft YaHei"/>
        <charset val="134"/>
        <color rgb="FF000000"/>
        <sz val="11"/>
      </rPr>
      <t>第一秒内伤害</t>
    </r>
    <r>
      <rPr>
        <rFont val="Microsoft YaHei"/>
        <charset val="134"/>
        <color rgb="FF000000"/>
        <sz val="12"/>
      </rPr>
      <t xml:space="preserve">
</t>
    </r>
    <r>
      <rPr>
        <rFont val="Microsoft YaHei"/>
        <charset val="134"/>
        <color rgb="FF000000"/>
        <sz val="11"/>
      </rPr>
      <t>（打胸口）</t>
    </r>
  </si>
  <si>
    <r>
      <rPr>
        <rFont val="Microsoft YaHei"/>
        <charset val="134"/>
        <color rgb="FF000000"/>
        <sz val="11"/>
      </rPr>
      <t>秒杀</t>
    </r>
    <r>
      <rPr>
        <rFont val="Microsoft YaHei"/>
        <charset val="134"/>
        <b val="1"/>
        <color rgb="FF9A38D7"/>
        <sz val="11"/>
      </rPr>
      <t>0.73s</t>
    </r>
  </si>
  <si>
    <r>
      <rPr>
        <rFont val="Microsoft YaHei"/>
        <charset val="134"/>
        <b val="1"/>
        <color rgb="FF9A38D7"/>
        <sz val="11"/>
      </rPr>
      <t>0.82s</t>
    </r>
    <r>
      <rPr>
        <rFont val="Microsoft YaHei"/>
        <charset val="134"/>
        <color rgb="FF000000"/>
        <sz val="11"/>
      </rPr>
      <t>~0.92s</t>
    </r>
  </si>
  <si>
    <r>
      <rPr>
        <rFont val="Microsoft YaHei"/>
        <charset val="134"/>
        <color rgb="FF000000"/>
        <sz val="11"/>
      </rPr>
      <t>蓄力0.42s
秒杀</t>
    </r>
    <r>
      <rPr>
        <rFont val="Microsoft YaHei"/>
        <charset val="134"/>
        <b val="1"/>
        <color rgb="FF9A38D7"/>
        <sz val="11"/>
      </rPr>
      <t>0.83s</t>
    </r>
  </si>
  <si>
    <r>
      <rPr>
        <rFont val="Microsoft YaHei"/>
        <charset val="134"/>
        <color rgb="FF000000"/>
        <sz val="11"/>
      </rPr>
      <t>蓄力0.39s
秒杀</t>
    </r>
    <r>
      <rPr>
        <rFont val="Microsoft YaHei"/>
        <charset val="134"/>
        <b val="1"/>
        <color rgb="FF9A38D7"/>
        <sz val="11"/>
      </rPr>
      <t>0.99s</t>
    </r>
  </si>
  <si>
    <r>
      <rPr>
        <rFont val="Microsoft YaHei"/>
        <charset val="134"/>
        <color rgb="FF000000"/>
        <sz val="11"/>
      </rPr>
      <t xml:space="preserve">对人爆炸伤害0~38，距离越远伤害越低
对于硬光窗户和人造建筑的伤害增强
</t>
    </r>
    <r>
      <rPr>
        <rFont val="Microsoft YaHei"/>
        <charset val="134"/>
        <color rgb="FF319B62"/>
        <sz val="11"/>
      </rPr>
      <t>30赛季：削弱50%对于窗户和建筑的伤害</t>
    </r>
  </si>
  <si>
    <r>
      <rPr>
        <rFont val="Microsoft YaHei"/>
        <charset val="134"/>
        <color rgb="FFDE3C36"/>
        <sz val="12"/>
      </rPr>
      <t>每次充能后爆炸箭矢数量从 7 支→ 10 支</t>
    </r>
    <r>
      <rPr>
        <rFont val="Microsoft YaHei"/>
        <charset val="134"/>
        <color rgb="FF000000"/>
        <sz val="12"/>
      </rPr>
      <t xml:space="preserve">
普通射速0.87s每箭
加快射速0.70s每箭
左边TTK是卡着极限时间松箭的结果
考虑到人手不可能完美精准松手
实际TTK还要更加偏长一点</t>
    </r>
  </si>
  <si>
    <r>
      <rPr>
        <rFont val="Microsoft YaHei"/>
        <charset val="134"/>
        <color rgb="FF000000"/>
        <sz val="11"/>
      </rPr>
      <t xml:space="preserve">满弦
</t>
    </r>
    <r>
      <rPr>
        <rFont val="Microsoft YaHei"/>
        <charset val="134"/>
        <color rgb="FFDE3C36"/>
        <sz val="11"/>
      </rPr>
      <t>装备快速狙击枪托</t>
    </r>
  </si>
  <si>
    <r>
      <rPr>
        <rFont val="Microsoft YaHei"/>
        <charset val="134"/>
        <color rgb="FF000000"/>
        <sz val="11"/>
      </rPr>
      <t xml:space="preserve">充能手雷+满弦
</t>
    </r>
    <r>
      <rPr>
        <rFont val="Microsoft YaHei"/>
        <charset val="134"/>
        <color rgb="FFDE3C36"/>
        <sz val="11"/>
      </rPr>
      <t>装备快速狙击枪托</t>
    </r>
  </si>
  <si>
    <r>
      <rPr>
        <rFont val="Microsoft YaHei"/>
        <charset val="134"/>
        <color rgb="FF000000"/>
        <sz val="11"/>
      </rPr>
      <t xml:space="preserve">单发
</t>
    </r>
    <r>
      <rPr>
        <rFont val="Microsoft YaHei"/>
        <charset val="134"/>
        <color rgb="FFDE3C36"/>
        <sz val="11"/>
      </rPr>
      <t>装备快速狙击枪托</t>
    </r>
  </si>
  <si>
    <r>
      <rPr>
        <rFont val="Microsoft YaHei"/>
        <charset val="134"/>
        <color rgb="FF000000"/>
        <sz val="11"/>
      </rPr>
      <t xml:space="preserve">开镜
</t>
    </r>
    <r>
      <rPr>
        <rFont val="Microsoft YaHei"/>
        <charset val="134"/>
        <color rgb="FFDE3C36"/>
        <sz val="11"/>
      </rPr>
      <t>装备快速狙击枪托</t>
    </r>
  </si>
  <si>
    <r>
      <rPr>
        <rFont val="Microsoft YaHei"/>
        <charset val="134"/>
        <color rgb="FF000000"/>
        <sz val="11"/>
      </rPr>
      <t xml:space="preserve">腰射（更快射速）
</t>
    </r>
    <r>
      <rPr>
        <rFont val="Microsoft YaHei"/>
        <charset val="134"/>
        <color rgb="FFDE3C36"/>
        <sz val="11"/>
      </rPr>
      <t>装备快速狙击枪托</t>
    </r>
  </si>
  <si>
    <r>
      <rPr>
        <rFont val="Microsoft YaHei"/>
        <charset val="134"/>
        <color rgb="FF000000"/>
        <sz val="11"/>
      </rPr>
      <t xml:space="preserve">连发模式
</t>
    </r>
    <r>
      <rPr>
        <rFont val="Microsoft YaHei"/>
        <charset val="134"/>
        <color rgb="FFDE3C36"/>
        <sz val="11"/>
      </rPr>
      <t>装备快速狙击枪托</t>
    </r>
  </si>
  <si>
    <r>
      <rPr>
        <rFont val="Microsoft YaHei"/>
        <charset val="134"/>
        <color rgb="FF000000"/>
        <sz val="11"/>
      </rPr>
      <t xml:space="preserve">普通模式
</t>
    </r>
    <r>
      <rPr>
        <rFont val="Microsoft YaHei"/>
        <charset val="134"/>
        <color rgb="FFDE3C36"/>
        <sz val="11"/>
      </rPr>
      <t>装备快速狙击枪托</t>
    </r>
  </si>
  <si>
    <r>
      <rPr>
        <rFont val="Microsoft YaHei"/>
        <charset val="134"/>
        <color rgb="FF000000"/>
        <sz val="11"/>
      </rPr>
      <t xml:space="preserve">普通
</t>
    </r>
    <r>
      <rPr>
        <rFont val="Microsoft YaHei"/>
        <charset val="134"/>
        <color rgb="FFDE3C36"/>
        <sz val="11"/>
      </rPr>
      <t>装备快速狙击枪托</t>
    </r>
  </si>
  <si>
    <r>
      <rPr>
        <rFont val="Microsoft YaHei"/>
        <charset val="134"/>
        <color rgb="FF000000"/>
        <sz val="11"/>
      </rPr>
      <t xml:space="preserve">充电
</t>
    </r>
    <r>
      <rPr>
        <rFont val="Microsoft YaHei"/>
        <charset val="134"/>
        <color rgb="FFDE3C36"/>
        <sz val="11"/>
      </rPr>
      <t>装备快速狙击枪托</t>
    </r>
  </si>
  <si>
    <r>
      <rPr>
        <rFont val="Microsoft YaHei"/>
        <charset val="134"/>
        <b val="1"/>
        <color rgb="FF000000"/>
        <sz val="20"/>
      </rPr>
      <t>枪械容错率数据表</t>
    </r>
    <r>
      <rPr>
        <rFont val="Microsoft YaHei"/>
        <charset val="134"/>
        <color rgb="FF000000"/>
        <sz val="20"/>
      </rPr>
      <t xml:space="preserve">
</t>
    </r>
    <r>
      <rPr>
        <rFont val="Microsoft YaHei"/>
        <charset val="134"/>
        <color rgb="FF000000"/>
        <sz val="14"/>
      </rPr>
      <t>by老葛你又在打电动</t>
    </r>
  </si>
  <si>
    <r>
      <rPr>
        <rFont val="Microsoft YaHei"/>
        <charset val="134"/>
        <color rgb="FF000000"/>
        <sz val="14"/>
      </rPr>
      <t>TTM排名</t>
    </r>
    <r>
      <rPr>
        <rFont val="Microsoft YaHei"/>
        <charset val="134"/>
        <color rgb="FF000000"/>
        <sz val="11"/>
      </rPr>
      <t xml:space="preserve">
（越长越好）</t>
    </r>
  </si>
  <si>
    <r>
      <rPr>
        <rFont val="Microsoft YaHei"/>
        <charset val="134"/>
        <color rgb="FF000000"/>
        <sz val="14"/>
      </rPr>
      <t xml:space="preserve">紫甲TTK
</t>
    </r>
    <r>
      <rPr>
        <rFont val="Microsoft YaHei"/>
        <charset val="134"/>
        <color rgb="FF000000"/>
        <sz val="10"/>
      </rPr>
      <t>秒杀紫甲所需时间</t>
    </r>
  </si>
  <si>
    <r>
      <rPr>
        <rFont val="Microsoft YaHei"/>
        <charset val="134"/>
        <color rgb="FF000000"/>
        <sz val="14"/>
      </rPr>
      <t>紫甲秒杀容错率</t>
    </r>
    <r>
      <rPr>
        <rFont val="Microsoft YaHei"/>
        <charset val="134"/>
        <color rgb="FF000000"/>
        <sz val="11"/>
      </rPr>
      <t xml:space="preserve">
</t>
    </r>
    <r>
      <rPr>
        <rFont val="Microsoft YaHei"/>
        <charset val="134"/>
        <color rgb="FF000000"/>
        <sz val="10"/>
      </rPr>
      <t>一梭子能够马枪的子弹比例</t>
    </r>
  </si>
  <si>
    <r>
      <rPr>
        <rFont val="Microsoft YaHei"/>
        <charset val="134"/>
        <color rgb="FF000000"/>
        <sz val="14"/>
      </rPr>
      <t>紫甲TTM</t>
    </r>
    <r>
      <rPr>
        <rFont val="Microsoft YaHei"/>
        <charset val="134"/>
        <color rgb="FF000000"/>
        <sz val="11"/>
      </rPr>
      <t xml:space="preserve">
</t>
    </r>
    <r>
      <rPr>
        <rFont val="Microsoft YaHei"/>
        <charset val="134"/>
        <color rgb="FF000000"/>
        <sz val="10"/>
      </rPr>
      <t>一梭子能够马枪的绝对时间</t>
    </r>
  </si>
  <si>
    <r>
      <rPr>
        <rFont val="Microsoft YaHei"/>
        <charset val="134"/>
        <color rgb="FF000000"/>
        <sz val="11"/>
      </rPr>
      <t xml:space="preserve">旧：63% 1.88s
</t>
    </r>
    <r>
      <rPr>
        <rFont val="Microsoft YaHei"/>
        <charset val="134"/>
        <color rgb="FF319B62"/>
        <sz val="11"/>
      </rPr>
      <t>新：54% 1.39s</t>
    </r>
  </si>
  <si>
    <r>
      <rPr>
        <rFont val="Microsoft YaHei"/>
        <charset val="134"/>
        <color rgb="FF000000"/>
        <sz val="11"/>
      </rPr>
      <t xml:space="preserve">旧：53% 1.04s
</t>
    </r>
    <r>
      <rPr>
        <rFont val="Microsoft YaHei"/>
        <charset val="134"/>
        <color rgb="FF319B62"/>
        <sz val="11"/>
      </rPr>
      <t>新：38% 0.64s</t>
    </r>
  </si>
  <si>
    <r>
      <rPr>
        <rFont val="Microsoft YaHei"/>
        <charset val="134"/>
        <color rgb="FF000000"/>
        <sz val="11"/>
      </rPr>
      <t xml:space="preserve">旧：56% 1.13s
</t>
    </r>
    <r>
      <rPr>
        <rFont val="Microsoft YaHei"/>
        <charset val="134"/>
        <color rgb="FF319B62"/>
        <sz val="11"/>
      </rPr>
      <t>新：46% 0.91s</t>
    </r>
  </si>
  <si>
    <r>
      <rPr>
        <rFont val="Microsoft YaHei"/>
        <charset val="134"/>
        <color rgb="FF000000"/>
        <sz val="11"/>
      </rPr>
      <t xml:space="preserve">旧：41% 0.62s
</t>
    </r>
    <r>
      <rPr>
        <rFont val="Microsoft YaHei"/>
        <charset val="134"/>
        <color rgb="FF319B62"/>
        <sz val="11"/>
      </rPr>
      <t>新：37% 0.57s</t>
    </r>
  </si>
  <si>
    <r>
      <rPr>
        <rFont val="Microsoft YaHei"/>
        <charset val="134"/>
        <b val="1"/>
        <color rgb="FF000000"/>
        <sz val="26"/>
      </rPr>
      <t>枪械灵活性数据表</t>
    </r>
    <r>
      <rPr>
        <rFont val="Microsoft YaHei"/>
        <charset val="134"/>
        <color rgb="FF000000"/>
        <sz val="20"/>
      </rPr>
      <t xml:space="preserve">
</t>
    </r>
    <r>
      <rPr>
        <rFont val="Microsoft YaHei"/>
        <charset val="134"/>
        <color rgb="FF000000"/>
        <sz val="14"/>
      </rPr>
      <t>by老葛你又在打电动</t>
    </r>
  </si>
  <si>
    <r>
      <rPr>
        <rFont val="Microsoft YaHei"/>
        <charset val="134"/>
        <color rgb="FF000000"/>
        <sz val="12"/>
      </rPr>
      <t xml:space="preserve">掏枪时间
</t>
    </r>
    <r>
      <rPr>
        <rFont val="Microsoft YaHei"/>
        <charset val="134"/>
        <color rgb="FF000000"/>
        <sz val="10"/>
      </rPr>
      <t>尽量紫枪托</t>
    </r>
  </si>
  <si>
    <r>
      <rPr>
        <rFont val="Microsoft YaHei"/>
        <charset val="134"/>
        <color rgb="FF000000"/>
        <sz val="12"/>
      </rPr>
      <t>空仓换弹时间</t>
    </r>
    <r>
      <rPr>
        <rFont val="Microsoft YaHei"/>
        <charset val="134"/>
        <color rgb="FF000000"/>
        <sz val="11"/>
      </rPr>
      <t xml:space="preserve">
</t>
    </r>
    <r>
      <rPr>
        <rFont val="Microsoft YaHei"/>
        <charset val="134"/>
        <color rgb="FF000000"/>
        <sz val="10"/>
      </rPr>
      <t>尽量紫枪托</t>
    </r>
  </si>
  <si>
    <r>
      <rPr>
        <rFont val="Microsoft YaHei"/>
        <charset val="134"/>
        <sz val="12"/>
      </rPr>
      <t>腰射移速</t>
    </r>
    <r>
      <rPr>
        <rFont val="Microsoft YaHei"/>
        <charset val="134"/>
        <sz val="11"/>
      </rPr>
      <t xml:space="preserve">
</t>
    </r>
    <r>
      <rPr>
        <rFont val="Microsoft YaHei"/>
        <charset val="134"/>
        <sz val="10"/>
      </rPr>
      <t>走路速度为100%</t>
    </r>
  </si>
  <si>
    <r>
      <rPr>
        <rFont val="Microsoft YaHei"/>
        <charset val="134"/>
        <sz val="12"/>
      </rPr>
      <t>举镜移速</t>
    </r>
    <r>
      <rPr>
        <rFont val="Microsoft YaHei"/>
        <charset val="134"/>
        <sz val="11"/>
      </rPr>
      <t xml:space="preserve">
</t>
    </r>
    <r>
      <rPr>
        <rFont val="Microsoft YaHei"/>
        <charset val="134"/>
        <sz val="10"/>
      </rPr>
      <t>走路速度为100%</t>
    </r>
  </si>
  <si>
    <r>
      <t>点击传送：APEX可视化曲线网站</t>
    </r>
  </si>
</sst>
</file>

<file path=xl/styles.xml><?xml version="1.0" encoding="utf-8"?>
<styleSheet xmlns="http://schemas.openxmlformats.org/spreadsheetml/2006/main">
  <numFmts count="8">
    <numFmt numFmtId="300" formatCode="yyyy/m/d;@"/>
    <numFmt numFmtId="301" formatCode="0.00秒"/>
    <numFmt numFmtId="302" formatCode="0.0%"/>
    <numFmt numFmtId="303" formatCode="0.00_ "/>
    <numFmt numFmtId="304" formatCode="0_ "/>
    <numFmt numFmtId="305" formatCode="0.00&quot;秒&quot;"/>
    <numFmt numFmtId="306" formatCode="General"/>
    <numFmt numFmtId="307" formatCode="0%"/>
  </numFmts>
  <fonts count="136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family val="3"/>
      <b val="1"/>
      <sz val="28"/>
    </font>
    <font>
      <name val="金山云技术体"/>
      <charset val="134"/>
      <family val="3"/>
      <sz val="20"/>
    </font>
    <font>
      <name val="Microsoft YaHei"/>
      <b val="1"/>
      <sz val="28"/>
    </font>
    <font>
      <name val="金山云技术体"/>
      <sz val="20"/>
    </font>
    <font>
      <name val="Microsoft YaHei"/>
      <charset val="134"/>
      <family val="3"/>
      <b val="1"/>
      <color rgb="FFFF0000"/>
      <sz val="14"/>
    </font>
    <font>
      <name val="Microsoft YaHei"/>
      <b val="1"/>
      <color rgb="FFFF0000"/>
      <sz val="14"/>
    </font>
    <font>
      <name val="Microsoft YaHei"/>
      <charset val="134"/>
      <family val="3"/>
      <sz val="14"/>
    </font>
    <font>
      <name val="Microsoft YaHei"/>
      <sz val="14"/>
    </font>
    <font>
      <name val="Microsoft YaHei"/>
      <charset val="134"/>
      <family val="3"/>
      <b val="1"/>
      <sz val="14"/>
    </font>
    <font>
      <name val="Microsoft YaHei"/>
      <b val="1"/>
      <sz val="14"/>
    </font>
    <font>
      <charset val="134"/>
      <family val="3"/>
      <sz val="12"/>
    </font>
    <font>
      <sz val="12"/>
    </font>
    <font>
      <b val="1"/>
      <sz val="12"/>
    </font>
    <font>
      <name val="金山云技术体"/>
      <charset val="134"/>
      <family val="3"/>
      <sz val="14"/>
    </font>
    <font>
      <name val="金山云技术体"/>
      <sz val="14"/>
    </font>
    <font>
      <name val="Microsoft YaHei"/>
      <sz val="12"/>
    </font>
    <font>
      <name val="金山云技术体"/>
      <charset val="134"/>
      <family val="3"/>
      <sz val="12"/>
    </font>
    <font>
      <name val="Microsoft YaHei"/>
      <charset val="134"/>
      <family val="3"/>
      <sz val="12"/>
    </font>
    <font>
      <name val="金山云技术体"/>
      <sz val="12"/>
    </font>
    <font>
      <name val="Microsoft YaHei"/>
      <charset val="134"/>
      <family val="3"/>
      <color rgb="FF000000"/>
      <sz val="16"/>
    </font>
    <font>
      <name val="Microsoft YaHei"/>
      <charset val="134"/>
      <family val="3"/>
      <color rgb="FF000000"/>
      <sz val="11"/>
    </font>
    <font>
      <name val="金山云技术体"/>
      <charset val="134"/>
      <family val="3"/>
      <sz val="11"/>
    </font>
    <font>
      <name val="Microsoft YaHei"/>
      <color rgb="FF000000"/>
      <sz val="11"/>
    </font>
    <font>
      <name val="Microsoft YaHei"/>
    </font>
    <font>
      <name val="Microsoft YaHei"/>
      <b val="1"/>
      <color rgb="FF000000"/>
      <sz val="14"/>
    </font>
    <font>
      <name val="Microsoft YaHei"/>
      <charset val="134"/>
      <family val="3"/>
      <color rgb="FF000000"/>
      <sz val="12"/>
    </font>
    <font>
      <name val="Microsoft YaHei"/>
      <charset val="134"/>
      <family val="3"/>
      <color rgb="FF000000"/>
    </font>
    <font>
      <name val="金山云技术体"/>
      <charset val="134"/>
      <family val="3"/>
      <color rgb="FFFF0000"/>
      <sz val="11"/>
    </font>
    <font>
      <name val="Microsoft YaHei"/>
      <color rgb="FF00B050"/>
      <sz val="12"/>
    </font>
    <font>
      <name val="Microsoft YaHei"/>
      <charset val="134"/>
      <family val="3"/>
      <color rgb="FFFF0000"/>
      <sz val="16"/>
    </font>
    <font>
      <name val="金山云技术体"/>
      <charset val="134"/>
      <family val="3"/>
      <sz val="16"/>
    </font>
    <font>
      <name val="金山云技术体"/>
      <color rgb="FFFF0000"/>
      <sz val="11"/>
    </font>
    <font>
      <name val="金山云技术体"/>
      <sz val="11"/>
    </font>
    <font>
      <name val="Microsoft YaHei"/>
      <b val="1"/>
      <color rgb="FF9A38D7"/>
      <sz val="11"/>
    </font>
    <font>
      <name val="金山云技术体"/>
      <color theme="1"/>
      <sz val="11"/>
    </font>
    <font>
      <name val="Microsoft YaHei"/>
      <color rgb="FF000000"/>
      <sz val="16"/>
    </font>
    <font>
      <name val="Microsoft YaHei"/>
      <color rgb="FF000000"/>
      <sz val="12"/>
    </font>
    <font>
      <name val="Microsoft YaHei"/>
      <b val="1"/>
      <color rgb="FF9A38D7"/>
    </font>
    <font>
      <name val="Microsoft YaHei"/>
      <color rgb="FF000000"/>
    </font>
    <font>
      <name val="Microsoft YaHei"/>
      <color rgb="FFFF0000"/>
      <sz val="12"/>
    </font>
    <font>
      <name val="Microsoft YaHei"/>
      <b val="1"/>
      <color rgb="FF000000"/>
      <sz val="12"/>
    </font>
    <font>
      <charset val="134"/>
      <family val="3"/>
    </font>
    <font/>
    <font>
      <name val="金山云技术体"/>
      <color rgb="FF00B050"/>
      <sz val="16"/>
    </font>
    <font>
      <name val="Microsoft YaHei"/>
      <color rgb="FF319B62"/>
      <sz val="12"/>
    </font>
    <font/>
    <font>
      <name val="Microsoft YaHei"/>
      <b val="1"/>
      <color rgb="FF000000"/>
      <sz val="11"/>
    </font>
    <font>
      <name val="Microsoft YaHei"/>
      <charset val="134"/>
      <family val="3"/>
      <color rgb="FF000000"/>
      <sz val="20"/>
    </font>
    <font>
      <name val="Microsoft YaHei"/>
      <charset val="134"/>
      <family val="3"/>
      <color rgb="FF000000"/>
      <sz val="14"/>
    </font>
    <font>
      <name val="Microsoft YaHei"/>
      <color theme="1"/>
      <sz val="11"/>
    </font>
    <font>
      <name val="Microsoft YaHei"/>
      <sz val="11"/>
    </font>
    <font>
      <name val="金山云技术体"/>
      <sz val="16"/>
    </font>
    <font>
      <name val="金山云技术体"/>
      <sz val="11"/>
    </font>
    <font>
      <name val="金山云技术体"/>
      <sz val="16"/>
    </font>
    <font>
      <name val="Microsoft YaHei"/>
      <charset val="134"/>
      <family val="3"/>
      <color rgb="FF000000"/>
      <sz val="16"/>
    </font>
    <font>
      <name val="Microsoft YaHei"/>
      <sz val="11"/>
    </font>
    <font>
      <name val="Microsoft YaHei"/>
      <charset val="134"/>
      <family val="3"/>
      <color theme="1"/>
      <sz val="11"/>
    </font>
    <font>
      <name val="Microsoft YaHei"/>
      <charset val="134"/>
      <family val="3"/>
      <sz val="20"/>
    </font>
    <font>
      <name val="Microsoft YaHei"/>
      <charset val="134"/>
      <family val="3"/>
      <sz val="11"/>
    </font>
    <font>
      <name val="Microsoft YaHei"/>
      <charset val="134"/>
      <family val="3"/>
      <sz val="16"/>
    </font>
    <font>
      <name val="金山云技术体"/>
      <charset val="134"/>
      <family val="3"/>
      <color rgb="FF00B050"/>
      <sz val="11"/>
    </font>
    <font>
      <name val="Microsoft YaHei"/>
      <charset val="134"/>
      <family val="3"/>
      <b val="1"/>
      <sz val="11"/>
    </font>
    <font>
      <name val="Microsoft YaHei"/>
      <charset val="134"/>
      <family val="3"/>
      <color rgb="FF00B050"/>
      <sz val="11"/>
    </font>
    <font>
      <name val="金山云技术体"/>
      <color rgb="FF000000"/>
      <sz val="11"/>
    </font>
    <font>
      <name val="Microsoft YaHei"/>
      <color rgb="FF00B050"/>
      <sz val="11"/>
    </font>
    <font>
      <name val="Microsoft YaHei"/>
      <sz val="16"/>
    </font>
    <font>
      <b val="1"/>
      <sz val="20"/>
    </font>
    <font>
      <b val="1"/>
      <color rgb="FFFF0000"/>
      <sz val="16"/>
    </font>
    <font>
      <name val="等线"/>
      <color theme="1"/>
      <sz val="11"/>
    </font>
    <font/>
    <font>
      <name val="等线"/>
    </font>
    <font>
      <name val="等线"/>
      <sz val="11"/>
    </font>
    <font>
      <name val="等线"/>
      <color theme="1"/>
      <sz val="11"/>
    </font>
    <font>
      <name val="微软雅黑"/>
      <charset val="134"/>
      <b val="1"/>
      <color theme="0"/>
      <sz val="36"/>
    </font>
    <font>
      <name val="微软雅黑"/>
      <charset val="134"/>
      <color theme="0"/>
      <sz val="14"/>
    </font>
    <font>
      <name val="微软雅黑"/>
      <charset val="134"/>
      <b val="1"/>
      <color theme="0"/>
      <sz val="12"/>
    </font>
    <font>
      <name val="微软雅黑"/>
      <charset val="134"/>
      <b val="1"/>
      <color theme="0"/>
      <sz val="18"/>
    </font>
    <font>
      <name val="微软雅黑"/>
      <charset val="134"/>
      <b val="1"/>
      <color theme="0"/>
      <sz val="20"/>
    </font>
    <font>
      <name val="微软雅黑"/>
      <charset val="134"/>
      <b val="1"/>
      <color theme="0"/>
      <sz val="11"/>
    </font>
    <font>
      <name val="微软雅黑"/>
      <charset val="134"/>
      <color theme="0"/>
      <sz val="11"/>
    </font>
    <font>
      <name val="微软雅黑"/>
      <charset val="134"/>
      <sz val="10"/>
    </font>
    <font>
      <name val="微软雅黑"/>
      <charset val="134"/>
      <b val="1"/>
      <color rgb="FF233F5B"/>
      <sz val="10"/>
    </font>
    <font>
      <name val="微软雅黑"/>
      <charset val="134"/>
      <color rgb="FF243247"/>
      <sz val="10"/>
    </font>
    <font>
      <name val="微软雅黑"/>
      <charset val="134"/>
      <color rgb="FF000000"/>
      <sz val="11"/>
    </font>
    <font>
      <name val="微软雅黑"/>
      <charset val="134"/>
      <color rgb="FF000000"/>
      <sz val="10"/>
    </font>
    <font>
      <name val="Microsoft YaHei"/>
      <charset val="134"/>
      <color rgb="FF000000"/>
      <sz val="11"/>
    </font>
    <font>
      <name val="Microsoft YaHei"/>
      <charset val="134"/>
      <b val="1"/>
      <sz val="28"/>
    </font>
    <font>
      <name val="金山云技术体"/>
      <charset val="134"/>
      <sz val="20"/>
    </font>
    <font>
      <name val="Microsoft YaHei"/>
      <charset val="134"/>
      <b val="1"/>
      <color rgb="FFFF0000"/>
      <sz val="14"/>
    </font>
    <font>
      <name val="Microsoft YaHei"/>
      <charset val="134"/>
      <sz val="14"/>
    </font>
    <font>
      <name val="Microsoft YaHei"/>
      <charset val="134"/>
      <b val="1"/>
      <sz val="14"/>
    </font>
    <font>
      <name val="等线"/>
      <charset val="134"/>
      <sz val="12"/>
      <scheme val="minor"/>
    </font>
    <font>
      <name val="等线"/>
      <charset val="134"/>
      <b val="1"/>
      <sz val="12"/>
      <scheme val="minor"/>
    </font>
    <font>
      <name val="金山云技术体"/>
      <charset val="134"/>
      <sz val="14"/>
    </font>
    <font>
      <name val="Microsoft YaHei"/>
      <charset val="134"/>
      <sz val="12"/>
    </font>
    <font>
      <name val="金山云技术体"/>
      <charset val="134"/>
      <sz val="12"/>
    </font>
    <font>
      <name val="Microsoft YaHei"/>
      <charset val="134"/>
      <color rgb="FF000000"/>
      <sz val="16"/>
    </font>
    <font>
      <name val="金山云技术体"/>
      <charset val="134"/>
      <sz val="11"/>
    </font>
    <font>
      <name val="Microsoft YaHei"/>
      <charset val="134"/>
      <sz val="11"/>
    </font>
    <font>
      <name val="Microsoft YaHei"/>
      <charset val="134"/>
      <b val="1"/>
      <color rgb="FF000000"/>
      <sz val="14"/>
    </font>
    <font>
      <name val="Microsoft YaHei"/>
      <charset val="134"/>
      <color rgb="FF000000"/>
      <sz val="12"/>
    </font>
    <font>
      <name val="金山云技术体"/>
      <charset val="134"/>
      <color rgb="FFFF0000"/>
      <sz val="11"/>
    </font>
    <font>
      <name val="Microsoft YaHei"/>
      <charset val="134"/>
      <color rgb="FF00B050"/>
      <sz val="12"/>
    </font>
    <font>
      <name val="Microsoft YaHei"/>
      <charset val="134"/>
      <color rgb="FFFF0000"/>
      <sz val="16"/>
    </font>
    <font>
      <name val="金山云技术体"/>
      <charset val="134"/>
      <sz val="16"/>
    </font>
    <font>
      <name val="Microsoft YaHei"/>
      <charset val="134"/>
      <b val="1"/>
      <color rgb="FF9A38D7"/>
      <sz val="11"/>
    </font>
    <font>
      <name val="金山云技术体"/>
      <charset val="134"/>
      <color theme="1"/>
      <sz val="11"/>
    </font>
    <font>
      <name val="Microsoft YaHei"/>
      <charset val="134"/>
      <color rgb="FFFF0000"/>
      <sz val="12"/>
    </font>
    <font>
      <name val="Microsoft YaHei"/>
      <charset val="134"/>
      <b val="1"/>
      <color rgb="FF000000"/>
      <sz val="12"/>
    </font>
    <font>
      <name val="等线"/>
      <charset val="134"/>
      <sz val="11"/>
      <scheme val="minor"/>
    </font>
    <font>
      <name val="金山云技术体"/>
      <charset val="134"/>
      <color rgb="FF00B050"/>
      <sz val="16"/>
    </font>
    <font>
      <name val="Microsoft YaHei"/>
      <charset val="134"/>
      <color rgb="FF319B62"/>
      <sz val="12"/>
    </font>
    <font>
      <name val="Microsoft YaHei"/>
      <charset val="134"/>
      <b val="1"/>
      <color rgb="FF000000"/>
      <sz val="11"/>
    </font>
    <font>
      <name val="Microsoft YaHei"/>
      <charset val="134"/>
      <color rgb="FF000000"/>
      <sz val="20"/>
    </font>
    <font>
      <name val="Microsoft YaHei"/>
      <charset val="134"/>
      <color rgb="FF000000"/>
      <sz val="14"/>
    </font>
    <font>
      <name val="Microsoft YaHei"/>
      <charset val="134"/>
      <color theme="1"/>
      <sz val="11"/>
    </font>
    <font>
      <name val="Microsoft YaHei"/>
      <charset val="134"/>
      <sz val="20"/>
    </font>
    <font>
      <name val="Microsoft YaHei"/>
      <charset val="134"/>
      <sz val="16"/>
    </font>
    <font>
      <name val="金山云技术体"/>
      <charset val="134"/>
      <color rgb="FF00B050"/>
      <sz val="11"/>
    </font>
    <font>
      <name val="Microsoft YaHei"/>
      <charset val="134"/>
      <b val="1"/>
      <sz val="11"/>
    </font>
    <font>
      <name val="Microsoft YaHei"/>
      <charset val="134"/>
      <color rgb="FF00B050"/>
      <sz val="11"/>
    </font>
    <font>
      <name val="金山云技术体"/>
      <charset val="134"/>
      <color rgb="FF000000"/>
      <sz val="11"/>
    </font>
    <font>
      <name val="等线"/>
      <charset val="134"/>
      <b val="1"/>
      <sz val="20"/>
      <scheme val="minor"/>
    </font>
    <font>
      <name val="宋体"/>
      <charset val="134"/>
      <color rgb="FF800080"/>
      <sz val="16"/>
      <u/>
    </font>
    <font>
      <name val="等线"/>
      <charset val="134"/>
      <b val="1"/>
      <color rgb="FFFF0000"/>
      <sz val="16"/>
      <scheme val="minor"/>
    </font>
    <font>
      <name val="等线"/>
      <charset val="134"/>
      <color theme="1"/>
      <sz val="11"/>
    </font>
    <font>
      <name val="等线"/>
      <charset val="134"/>
      <sz val="11"/>
    </font>
    <font>
      <name val="Microsoft YaHei"/>
      <charset val="134"/>
      <color rgb="FF000000"/>
      <sz val="10"/>
    </font>
    <font>
      <name val="微软雅黑"/>
      <charset val="134"/>
      <b val="1"/>
      <color rgb="FF243247"/>
      <sz val="10"/>
    </font>
    <font>
      <name val="微软雅黑"/>
      <charset val="134"/>
      <b val="1"/>
      <sz val="10"/>
    </font>
    <font>
      <name val="Microsoft YaHei"/>
      <charset val="134"/>
      <b val="1"/>
      <color rgb="FF000000"/>
      <sz val="10"/>
    </font>
    <font>
      <name val="等线"/>
      <charset val="134"/>
      <color theme="0"/>
      <sz val="11"/>
      <scheme val="minor"/>
    </font>
    <font>
      <name val="等线"/>
      <family val="2"/>
      <color theme="1"/>
      <sz val="1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7" tint="0.599994"/>
        <bgColor indexed="64"/>
      </patternFill>
    </fill>
    <fill>
      <patternFill patternType="solid">
        <fgColor rgb="FFFFEEAD"/>
      </patternFill>
    </fill>
    <fill>
      <patternFill patternType="solid">
        <fgColor rgb="FFD8D8D8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/>
    <fill>
      <patternFill patternType="solid">
        <fgColor theme="0"/>
        <bgColor indexed="64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>
      <patternFill patternType="solid">
        <fgColor rgb="FFC3EAD5"/>
      </patternFill>
    </fill>
    <fill/>
    <fill>
      <patternFill patternType="solid">
        <fgColor rgb="FFFFE699"/>
      </patternFill>
    </fill>
    <fill>
      <patternFill patternType="none"/>
    </fill>
    <fill>
      <patternFill patternType="solid">
        <fgColor rgb="FFC3EAD5"/>
      </patternFill>
    </fill>
    <fill>
      <patternFill patternType="none"/>
    </fill>
    <fill/>
    <fill>
      <patternFill patternType="solid">
        <fgColor theme="7" tint="0.599994"/>
        <bgColor indexed="64"/>
      </patternFill>
    </fill>
    <fill>
      <patternFill patternType="solid">
        <fgColor rgb="FFBFBFBF"/>
      </patternFill>
    </fill>
    <fill>
      <patternFill patternType="solid">
        <fgColor rgb="FFFFEEAD"/>
      </patternFill>
    </fill>
    <fill>
      <patternFill patternType="none"/>
    </fill>
    <fill>
      <patternFill patternType="solid">
        <fgColor rgb="FF8CDDFA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D8D8D8"/>
      </patternFill>
    </fill>
  </fills>
  <borders count="8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  <diagonal/>
    </border>
    <border>
      <left/>
      <right/>
      <top/>
      <bottom/>
    </border>
    <border>
      <left style="thin">
        <color rgb="FF000000"/>
      </left>
      <top style="thin">
        <color rgb="FF000000"/>
      </top>
      <diagonal/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/>
    <border>
      <left style="thin">
        <color rgb="FF000000"/>
      </left>
      <right style="thin">
        <color rgb="FF000000"/>
      </right>
      <top/>
    </border>
    <border>
      <right style="thin">
        <color rgb="FF000000"/>
      </right>
      <top/>
      <bottom style="thin">
        <color rgb="FF000000"/>
      </bottom>
    </border>
    <border>
      <left/>
      <top/>
    </border>
    <border>
      <left/>
      <top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diagonal/>
    </border>
  </borders>
  <cellStyleXfs>
    <xf numFmtId="306" fontId="135" fillId="0" borderId="82" xfId="0"/>
  </cellStyleXfs>
  <cellXfs count="95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306" fontId="4" fillId="3" borderId="1" xfId="0" applyFont="1" applyFill="1" applyBorder="1" applyAlignment="1">
      <alignment horizontal="center" vertical="center" wrapText="1"/>
    </xf>
    <xf numFmtId="306" fontId="4" fillId="3" borderId="2" xfId="0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306" fontId="6" fillId="3" borderId="2" xfId="0" applyFont="1" applyFill="1" applyBorder="1" applyAlignment="1">
      <alignment horizontal="center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fontId="7" fillId="2" borderId="2" xfId="0">
      <alignment horizontal="center" vertical="center" wrapText="1"/>
    </xf>
    <xf fontId="0" fillId="0" borderId="2" xfId="0"/>
    <xf fontId="8" fillId="2" borderId="2" xfId="0">
      <alignment horizontal="center" vertical="center" wrapText="1"/>
    </xf>
    <xf fontId="8" fillId="4" borderId="2" xfId="0">
      <alignment horizontal="center" vertical="center" wrapText="1"/>
    </xf>
    <xf fontId="9" fillId="2" borderId="2" xfId="0">
      <alignment horizontal="center" vertical="center" wrapText="1"/>
    </xf>
    <xf fontId="10" fillId="2" borderId="2" xfId="0">
      <alignment horizontal="center" vertical="center" wrapText="1"/>
    </xf>
    <xf fontId="10" fillId="4" borderId="2" xfId="0">
      <alignment horizontal="center" vertical="center" wrapText="1"/>
    </xf>
    <xf fontId="11" fillId="2" borderId="2" xfId="0">
      <alignment horizontal="center" vertical="center" wrapText="1"/>
    </xf>
    <xf fontId="11" fillId="2" borderId="2" xfId="0">
      <alignment horizontal="center" vertical="center"/>
    </xf>
    <xf fontId="12" fillId="2" borderId="2" xfId="0">
      <alignment horizontal="center" vertical="center"/>
    </xf>
    <xf fontId="12" fillId="2" borderId="3" xfId="0">
      <alignment horizontal="center" vertical="center"/>
    </xf>
    <xf fontId="0" fillId="0" borderId="4" xfId="0"/>
    <xf fontId="12" fillId="5" borderId="4" xfId="0">
      <alignment horizontal="center" vertical="center"/>
    </xf>
    <xf fontId="12" fillId="4" borderId="4" xfId="0">
      <alignment horizontal="center" vertical="center"/>
    </xf>
    <xf fontId="0" fillId="0" borderId="5" xfId="0"/>
    <xf numFmtId="300" fontId="13" fillId="2" borderId="6" xfId="0" applyNumberFormat="1" applyFont="1" applyFill="1" applyBorder="1" applyAlignment="1">
      <alignment horizontal="left" vertical="center" wrapText="1" indent="2"/>
    </xf>
    <xf fontId="0" fillId="0" borderId="6" xfId="0"/>
    <xf numFmtId="0" fontId="13" fillId="2" borderId="6" xfId="0" applyNumberFormat="1" applyFont="1" applyFill="1" applyBorder="1" applyAlignment="1">
      <alignment horizontal="left" vertical="center" wrapText="1" indent="2"/>
    </xf>
    <xf numFmtId="0" fontId="14" fillId="2" borderId="6" xfId="0" applyNumberFormat="1" applyFont="1" applyFill="1" applyBorder="1" applyAlignment="1">
      <alignment horizontal="left" vertical="center" wrapText="1" indent="2"/>
    </xf>
    <xf numFmtId="0" fontId="15" fillId="2" borderId="6" xfId="0">
      <alignment horizontal="left" vertical="center" wrapText="1" indent="2"/>
    </xf>
    <xf numFmtId="0" fontId="15" fillId="5" borderId="6" xfId="0">
      <alignment horizontal="left" vertical="center" wrapText="1" indent="2"/>
    </xf>
    <xf numFmtId="0" fontId="15" fillId="4" borderId="6" xfId="0">
      <alignment horizontal="left" vertical="center" wrapText="1" indent="2"/>
    </xf>
    <xf numFmtId="306" fontId="9" fillId="2" borderId="7" xfId="0" applyFont="1" applyFill="1" applyBorder="1" applyAlignment="1">
      <alignment horizontal="center" vertical="center" wrapText="1"/>
    </xf>
    <xf fontId="9" fillId="2" borderId="7" xfId="0">
      <alignment horizontal="center" vertical="center" wrapText="1"/>
    </xf>
    <xf fontId="16" fillId="3" borderId="7" xfId="0">
      <alignment horizontal="center" vertical="center" wrapText="1"/>
    </xf>
    <xf fontId="9" fillId="2" borderId="7" xfId="0">
      <alignment horizontal="center" vertical="center"/>
    </xf>
    <xf fontId="16" fillId="3" borderId="7" xfId="0">
      <alignment horizontal="center" vertical="center"/>
    </xf>
    <xf fontId="10" fillId="2" borderId="7" xfId="0">
      <alignment horizontal="center" vertical="center"/>
    </xf>
    <xf fontId="17" fillId="3" borderId="7" xfId="0">
      <alignment horizontal="center" vertical="center"/>
    </xf>
    <xf fontId="12" fillId="2" borderId="7" xfId="0">
      <alignment horizontal="center" vertical="center" wrapText="1"/>
    </xf>
    <xf fontId="18" fillId="2" borderId="7" xfId="0">
      <alignment horizontal="center" vertical="center" wrapText="1"/>
    </xf>
    <xf numFmtId="0" fontId="9" fillId="2" borderId="7" xfId="0">
      <alignment horizontal="center" vertical="center" wrapText="1"/>
    </xf>
    <xf numFmtId="306" fontId="16" fillId="3" borderId="8" xfId="0" applyFont="1" applyFill="1" applyBorder="1" applyAlignment="1">
      <alignment horizontal="center" vertical="center" wrapText="1"/>
    </xf>
    <xf numFmtId="306" fontId="9" fillId="2" borderId="8" xfId="0" applyFont="1" applyFill="1" applyBorder="1" applyAlignment="1">
      <alignment horizontal="center" vertical="center" wrapText="1"/>
    </xf>
    <xf numFmtId="306" fontId="19" fillId="3" borderId="7" xfId="0" applyFont="1" applyFill="1" applyBorder="1" applyAlignment="1">
      <alignment horizontal="center" vertical="center" wrapText="1"/>
    </xf>
    <xf fontId="0" fillId="0" borderId="7" xfId="0"/>
    <xf numFmtId="306" fontId="16" fillId="3" borderId="8" xfId="0" applyFont="1" applyFill="1" applyBorder="1" applyAlignment="1">
      <alignment horizontal="center" vertical="center"/>
    </xf>
    <xf numFmtId="306" fontId="20" fillId="2" borderId="8" xfId="0" applyFont="1" applyFill="1" applyBorder="1" applyAlignment="1">
      <alignment horizontal="center" vertical="center" wrapText="1"/>
    </xf>
    <xf numFmtId="306" fontId="18" fillId="2" borderId="7" xfId="0" applyFont="1" applyFill="1" applyBorder="1" applyAlignment="1">
      <alignment horizontal="center" vertical="center" wrapText="1"/>
    </xf>
    <xf numFmtId="306" fontId="19" fillId="3" borderId="8" xfId="0" applyFont="1" applyFill="1" applyBorder="1" applyAlignment="1">
      <alignment horizontal="center" vertical="center" wrapText="1"/>
    </xf>
    <xf numFmtId="306" fontId="21" fillId="3" borderId="7" xfId="0" applyFont="1" applyFill="1" applyBorder="1" applyAlignment="1">
      <alignment horizontal="center" vertical="center" wrapText="1"/>
    </xf>
    <xf numFmtId="306" fontId="22" fillId="6" borderId="8" xfId="0" applyFont="1" applyFill="1" applyBorder="1" applyAlignment="1">
      <alignment horizontal="center" vertical="center"/>
    </xf>
    <xf numFmtId="306" fontId="23" fillId="6" borderId="8" xfId="0" applyFont="1" applyFill="1" applyBorder="1" applyAlignment="1">
      <alignment horizontal="center" vertical="center"/>
    </xf>
    <xf numFmtId="306" fontId="24" fillId="7" borderId="8" xfId="0" applyFont="1" applyFill="1" applyBorder="1" applyAlignment="1">
      <alignment horizontal="center" vertical="center"/>
    </xf>
    <xf numFmtId="306" fontId="25" fillId="6" borderId="7" xfId="0" applyFont="1" applyFill="1" applyBorder="1" applyAlignment="1">
      <alignment horizontal="center" vertical="center"/>
    </xf>
    <xf numFmtId="1" fontId="23" fillId="6" borderId="8" xfId="0" applyNumberFormat="1" applyFont="1" applyFill="1" applyBorder="1" applyAlignment="1">
      <alignment horizontal="center" vertical="center"/>
    </xf>
    <xf numFmtId="1" fontId="25" fillId="6" borderId="7" xfId="0" applyNumberFormat="1" applyFont="1" applyFill="1" applyBorder="1" applyAlignment="1">
      <alignment horizontal="center" vertical="center"/>
    </xf>
    <xf fontId="25" fillId="6" borderId="7" xfId="0">
      <alignment horizontal="center" vertical="center" wrapText="1"/>
    </xf>
    <xf numFmtId="306" fontId="25" fillId="6" borderId="7" xfId="0" applyFont="1" applyFill="1" applyBorder="1" applyAlignment="1">
      <alignment horizontal="center" vertical="center" wrapText="1"/>
    </xf>
    <xf numFmtId="0" fontId="26" fillId="6" borderId="7" xfId="0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306" fontId="27" fillId="6" borderId="7" xfId="0" applyFont="1" applyFill="1" applyBorder="1" applyAlignment="1">
      <alignment horizontal="center" vertical="center" wrapText="1"/>
    </xf>
    <xf numFmtId="306" fontId="28" fillId="6" borderId="8" xfId="0" applyFont="1" applyFill="1" applyBorder="1" applyAlignment="1">
      <alignment horizontal="left" vertical="center" indent="2"/>
    </xf>
    <xf numFmtId="0" fontId="22" fillId="6" borderId="7" xfId="0">
      <alignment horizontal="center" vertical="center"/>
    </xf>
    <xf numFmtId="0" fontId="29" fillId="6" borderId="7" xfId="0" applyNumberFormat="1" applyFont="1" applyFill="1" applyBorder="1" applyAlignment="1">
      <alignment horizontal="center" vertical="center" wrapText="1"/>
    </xf>
    <xf numFmtId="0" fontId="30" fillId="7" borderId="7" xfId="0" applyNumberFormat="1" applyFont="1" applyFill="1" applyBorder="1" applyAlignment="1">
      <alignment horizontal="center" vertical="center"/>
    </xf>
    <xf numFmtId="0" fontId="23" fillId="6" borderId="7" xfId="0" applyNumberFormat="1" applyFont="1" applyFill="1" applyBorder="1" applyAlignment="1">
      <alignment horizontal="center" vertical="center"/>
    </xf>
    <xf numFmtId="306" fontId="23" fillId="6" borderId="7" xfId="0" applyFont="1" applyFill="1" applyBorder="1" applyAlignment="1">
      <alignment horizontal="center" vertical="center"/>
    </xf>
    <xf numFmtId="306" fontId="23" fillId="6" borderId="7" xfId="0" applyFont="1" applyFill="1" applyBorder="1" applyAlignment="1">
      <alignment horizontal="center" vertical="center" wrapText="1"/>
    </xf>
    <xf fontId="25" fillId="6" borderId="7" xfId="0">
      <alignment horizontal="center" vertical="center"/>
    </xf>
    <xf numFmtId="0" fontId="23" fillId="6" borderId="7" xfId="0" applyNumberFormat="1" applyFont="1" applyFill="1" applyBorder="1" applyAlignment="1">
      <alignment horizontal="center" vertical="center" wrapText="1"/>
    </xf>
    <xf numFmtId="0" fontId="25" fillId="6" borderId="7" xfId="0" applyNumberFormat="1" applyFont="1" applyFill="1" applyBorder="1" applyAlignment="1">
      <alignment horizontal="center" vertical="center" wrapText="1"/>
    </xf>
    <xf numFmtId="0" fontId="25" fillId="6" borderId="7" xfId="0">
      <alignment horizontal="center" vertical="center" wrapText="1"/>
    </xf>
    <xf numFmtId="0" fontId="27" fillId="6" borderId="7" xfId="0">
      <alignment horizontal="center" vertical="center" wrapText="1"/>
    </xf>
    <xf numFmtId="0" fontId="31" fillId="6" borderId="7" xfId="0" applyNumberFormat="1" applyFont="1" applyFill="1" applyBorder="1" applyAlignment="1">
      <alignment horizontal="left" vertical="center" wrapText="1" indent="2"/>
    </xf>
    <xf numFmtId="0" fontId="32" fillId="6" borderId="7" xfId="0">
      <alignment horizontal="center" vertical="center"/>
    </xf>
    <xf fontId="23" fillId="8" borderId="7" xfId="0">
      <alignment horizontal="center" vertical="center"/>
    </xf>
    <xf fontId="23" fillId="6" borderId="7" xfId="0">
      <alignment horizontal="center" vertical="center"/>
    </xf>
    <xf fontId="23" fillId="6" borderId="7" xfId="0">
      <alignment horizontal="center" vertical="center" wrapText="1"/>
    </xf>
    <xf fontId="23" fillId="8" borderId="7" xfId="0">
      <alignment horizontal="center" vertical="center" wrapText="1"/>
    </xf>
    <xf fontId="27" fillId="6" borderId="7" xfId="0">
      <alignment horizontal="center" vertical="center" wrapText="1"/>
    </xf>
    <xf numFmtId="0" fontId="33" fillId="7" borderId="7" xfId="0" applyNumberFormat="1" applyFont="1" applyFill="1" applyBorder="1" applyAlignment="1">
      <alignment horizontal="center" vertical="center"/>
    </xf>
    <xf numFmtId="0" fontId="23" fillId="6" borderId="7" xfId="0">
      <alignment horizontal="center" vertical="center"/>
    </xf>
    <xf numFmtId="0" fontId="24" fillId="7" borderId="7" xfId="0" applyNumberFormat="1" applyFont="1" applyFill="1" applyBorder="1" applyAlignment="1">
      <alignment horizontal="center" vertical="center"/>
    </xf>
    <xf numFmtId="0" fontId="24" fillId="7" borderId="7" xfId="0" applyNumberFormat="1" applyFont="1" applyFill="1" applyBorder="1" applyAlignment="1">
      <alignment horizontal="center" vertical="center" wrapText="1"/>
    </xf>
    <xf numFmtId="0" fontId="34" fillId="7" borderId="7" xfId="0" applyNumberFormat="1" applyFont="1" applyFill="1" applyBorder="1" applyAlignment="1">
      <alignment horizontal="center" vertical="center"/>
    </xf>
    <xf numFmtId="0" fontId="35" fillId="7" borderId="7" xfId="0" applyNumberFormat="1" applyFont="1" applyFill="1" applyBorder="1" applyAlignment="1">
      <alignment horizontal="center" vertical="center" wrapText="1"/>
    </xf>
    <xf numFmtId="0" fontId="25" fillId="6" borderId="7" xfId="0">
      <alignment horizontal="center" vertical="center"/>
    </xf>
    <xf fontId="36" fillId="6" borderId="7" xfId="0">
      <alignment horizontal="center" vertical="center"/>
    </xf>
    <xf fontId="27" fillId="6" borderId="7" xfId="0">
      <alignment horizontal="center" vertical="center"/>
    </xf>
    <xf numFmtId="0" fontId="37" fillId="7" borderId="7" xfId="0" applyNumberFormat="1" applyFont="1" applyFill="1" applyBorder="1" applyAlignment="1">
      <alignment horizontal="center" vertical="center"/>
    </xf>
    <xf fontId="38" fillId="9" borderId="9" xfId="0">
      <alignment horizontal="center" vertical="center"/>
    </xf>
    <xf fontId="25" fillId="9" borderId="10" xfId="0">
      <alignment horizontal="center" vertical="center"/>
    </xf>
    <xf fontId="0" fillId="0" borderId="11" xfId="0"/>
    <xf numFmtId="0" fontId="25" fillId="9" borderId="7" xfId="0" applyNumberFormat="1" applyFont="1" applyFill="1" applyBorder="1" applyAlignment="1">
      <alignment horizontal="center" vertical="center"/>
    </xf>
    <xf fontId="25" fillId="9" borderId="9" xfId="0">
      <alignment horizontal="center" vertical="center"/>
    </xf>
    <xf numFmtId="0" fontId="25" fillId="9" borderId="9" xfId="0">
      <alignment horizontal="center" vertical="center"/>
    </xf>
    <xf numFmtId="0" fontId="25" fillId="9" borderId="7" xfId="0">
      <alignment horizontal="center" vertical="center"/>
    </xf>
    <xf fontId="25" fillId="9" borderId="7" xfId="0">
      <alignment horizontal="center" vertical="center" wrapText="1"/>
    </xf>
    <xf numFmtId="0" fontId="25" fillId="6" borderId="9" xfId="0">
      <alignment horizontal="center" vertical="center"/>
    </xf>
    <xf fontId="25" fillId="6" borderId="9" xfId="0">
      <alignment horizontal="center" vertical="center"/>
    </xf>
    <xf fontId="25" fillId="9" borderId="7" xfId="0">
      <alignment horizontal="center" vertical="center"/>
    </xf>
    <xf fontId="27" fillId="9" borderId="9" xfId="0">
      <alignment horizontal="center" vertical="center"/>
    </xf>
    <xf numFmtId="0" fontId="39" fillId="9" borderId="9" xfId="0">
      <alignment horizontal="left" vertical="center" wrapText="1" indent="2"/>
    </xf>
    <xf fontId="0" fillId="0" borderId="12" xfId="0"/>
    <xf fontId="0" fillId="0" borderId="13" xfId="0"/>
    <xf fontId="0" fillId="0" borderId="14" xfId="0"/>
    <xf fontId="0" fillId="0" borderId="15" xfId="0"/>
    <xf fontId="0" fillId="0" borderId="16" xfId="0"/>
    <xf fontId="0" fillId="0" borderId="17" xfId="0"/>
    <xf fontId="0" fillId="0" borderId="18" xfId="0"/>
    <xf fontId="26" fillId="6" borderId="7" xfId="0">
      <alignment horizontal="center" vertical="center"/>
    </xf>
    <xf fontId="27" fillId="9" borderId="7" xfId="0">
      <alignment horizontal="center" vertical="center"/>
    </xf>
    <xf numFmtId="0" fontId="38" fillId="9" borderId="9" xfId="0">
      <alignment horizontal="center" vertical="center"/>
    </xf>
    <xf numFmtId="306" fontId="25" fillId="9" borderId="7" xfId="0" applyFont="1" applyFill="1" applyBorder="1" applyAlignment="1">
      <alignment horizontal="center" vertical="center"/>
    </xf>
    <xf numFmtId="0" fontId="25" fillId="6" borderId="7" xfId="0" applyNumberFormat="1" applyFont="1" applyFill="1" applyBorder="1" applyAlignment="1">
      <alignment horizontal="center" vertical="center"/>
    </xf>
    <xf numFmtId="0" fontId="40" fillId="6" borderId="7" xfId="0">
      <alignment horizontal="center" vertical="center" wrapText="1"/>
    </xf>
    <xf numFmtId="0" fontId="25" fillId="9" borderId="7" xfId="0">
      <alignment horizontal="center" vertical="center" wrapText="1"/>
    </xf>
    <xf numFmtId="0" fontId="27" fillId="9" borderId="7" xfId="0">
      <alignment horizontal="center" vertical="center" wrapText="1"/>
    </xf>
    <xf numFmtId="0" fontId="27" fillId="9" borderId="7" xfId="0">
      <alignment horizontal="center" vertical="center"/>
    </xf>
    <xf numFmtId="0" fontId="38" fillId="9" borderId="7" xfId="0">
      <alignment horizontal="center" vertical="center"/>
    </xf>
    <xf fontId="25" fillId="9" borderId="19" xfId="0">
      <alignment horizontal="center" vertical="center"/>
    </xf>
    <xf fontId="0" fillId="0" borderId="20" xfId="0"/>
    <xf fontId="0" fillId="0" borderId="21" xfId="0"/>
    <xf numFmtId="306" fontId="25" fillId="9" borderId="7" xfId="0" applyFont="1" applyFill="1" applyBorder="1" applyAlignment="1">
      <alignment horizontal="center" vertical="center" wrapText="1"/>
    </xf>
    <xf numFmtId="0" fontId="39" fillId="9" borderId="7" xfId="0">
      <alignment horizontal="left" vertical="center" wrapText="1" indent="2"/>
    </xf>
    <xf fontId="25" fillId="9" borderId="9" xfId="0">
      <alignment horizontal="center" vertical="center" wrapText="1"/>
    </xf>
    <xf fontId="25" fillId="6" borderId="9" xfId="0">
      <alignment horizontal="center" vertical="center" wrapText="1"/>
    </xf>
    <xf numFmtId="60" fontId="25" fillId="6" borderId="7" xfId="0">
      <alignment horizontal="center" vertical="center"/>
    </xf>
    <xf numFmtId="60" fontId="25" fillId="9" borderId="7" xfId="0">
      <alignment horizontal="center" vertical="center"/>
    </xf>
    <xf fontId="27" fillId="9" borderId="7" xfId="0">
      <alignment horizontal="center" vertical="center" wrapText="1"/>
    </xf>
    <xf numFmtId="0" fontId="25" fillId="9" borderId="9" xfId="0">
      <alignment horizontal="center" vertical="center" wrapText="1"/>
    </xf>
    <xf numFmtId="0" fontId="25" fillId="6" borderId="9" xfId="0">
      <alignment horizontal="center" vertical="center" wrapText="1"/>
    </xf>
    <xf numFmtId="0" fontId="38" fillId="9" borderId="9" xfId="0" applyNumberFormat="1" applyFont="1" applyFill="1" applyBorder="1" applyAlignment="1">
      <alignment horizontal="center" vertical="center"/>
    </xf>
    <xf numFmtId="306" fontId="25" fillId="9" borderId="10" xfId="0" applyFont="1" applyFill="1" applyBorder="1" applyAlignment="1">
      <alignment horizontal="center" vertical="center"/>
    </xf>
    <xf numFmtId="306" fontId="25" fillId="9" borderId="9" xfId="0" applyFont="1" applyFill="1" applyBorder="1" applyAlignment="1">
      <alignment horizontal="center" vertical="center"/>
    </xf>
    <xf numFmtId="306" fontId="25" fillId="9" borderId="9" xfId="0" applyFont="1" applyFill="1" applyBorder="1" applyAlignment="1">
      <alignment horizontal="center" vertical="center" wrapText="1"/>
    </xf>
    <xf numFmtId="0" fontId="36" fillId="6" borderId="7" xfId="0">
      <alignment horizontal="center" vertical="center"/>
    </xf>
    <xf fontId="39" fillId="9" borderId="9" xfId="0">
      <alignment horizontal="left" vertical="center" wrapText="1" indent="2"/>
    </xf>
    <xf fontId="0" fillId="0" borderId="22" xfId="0"/>
    <xf fontId="25" fillId="9" borderId="7" xfId="0">
      <alignment horizontal="center" vertical="center"/>
    </xf>
    <xf numFmtId="0" fontId="25" fillId="9" borderId="7" xfId="0" applyNumberFormat="1" applyFont="1" applyFill="1" applyBorder="1" applyAlignment="1">
      <alignment horizontal="center" vertical="center" wrapText="1"/>
    </xf>
    <xf numFmtId="0" fontId="36" fillId="6" borderId="7" xfId="0">
      <alignment horizontal="center" vertical="center" wrapText="1"/>
    </xf>
    <xf numFmtId="0" fontId="25" fillId="9" borderId="9" xfId="0" applyNumberFormat="1" applyFont="1" applyFill="1" applyBorder="1" applyAlignment="1">
      <alignment horizontal="center" vertical="center" wrapText="1"/>
    </xf>
    <xf numFmtId="0" fontId="39" fillId="9" borderId="9" xfId="0" applyNumberFormat="1" applyFont="1" applyFill="1" applyBorder="1" applyAlignment="1">
      <alignment horizontal="left" vertical="center" wrapText="1" indent="2"/>
    </xf>
    <xf numFmtId="0" fontId="25" fillId="9" borderId="10" xfId="0" applyNumberFormat="1" applyFont="1" applyFill="1" applyBorder="1" applyAlignment="1">
      <alignment horizontal="center" vertical="center"/>
    </xf>
    <xf numFmtId="0" fontId="25" fillId="9" borderId="9" xfId="0" applyNumberFormat="1" applyFont="1" applyFill="1" applyBorder="1" applyAlignment="1">
      <alignment horizontal="center" vertical="center"/>
    </xf>
    <xf numFmtId="306" fontId="25" fillId="9" borderId="7" xfId="0" applyFont="1" applyFill="1" applyBorder="1" applyAlignment="1">
      <alignment horizontal="center" vertical="center" wrapText="1"/>
    </xf>
    <xf numFmtId="0" fontId="36" fillId="6" borderId="9" xfId="0">
      <alignment horizontal="center" vertical="center"/>
    </xf>
    <xf numFmtId="0" fontId="27" fillId="9" borderId="9" xfId="0">
      <alignment horizontal="center" vertical="center"/>
    </xf>
    <xf fontId="25" fillId="9" borderId="7" xfId="0">
      <alignment horizontal="center" vertical="center" wrapText="1"/>
    </xf>
    <xf numFmtId="0" fontId="41" fillId="6" borderId="7" xfId="0">
      <alignment horizontal="center" vertical="center"/>
    </xf>
    <xf numFmtId="0" fontId="41" fillId="9" borderId="7" xfId="0">
      <alignment horizontal="center" vertical="center"/>
    </xf>
    <xf numFmtId="0" fontId="42" fillId="9" borderId="9" xfId="0">
      <alignment horizontal="left" vertical="center" wrapText="1" indent="2"/>
    </xf>
    <xf numFmtId="0" fontId="25" fillId="9" borderId="7" xfId="0">
      <alignment horizontal="center" vertical="center" wrapText="1"/>
    </xf>
    <xf fontId="36" fillId="6" borderId="7" xfId="0">
      <alignment horizontal="center" vertical="center" wrapText="1"/>
    </xf>
    <xf fontId="40" fillId="6" borderId="7" xfId="0">
      <alignment horizontal="center" vertical="center"/>
    </xf>
    <xf fontId="39" fillId="9" borderId="7" xfId="0">
      <alignment horizontal="left" vertical="center" wrapText="1" indent="2"/>
    </xf>
    <xf fontId="38" fillId="9" borderId="7" xfId="0">
      <alignment horizontal="center" vertical="center"/>
    </xf>
    <xf numFmtId="306" fontId="25" fillId="9" borderId="19" xfId="0" applyFont="1" applyFill="1" applyBorder="1" applyAlignment="1">
      <alignment horizontal="center" vertical="center"/>
    </xf>
    <xf numFmtId="0" fontId="43" fillId="9" borderId="7" xfId="0">
      <alignment horizontal="left" vertical="center" wrapText="1" indent="2"/>
    </xf>
    <xf fontId="22" fillId="6" borderId="8" xfId="0">
      <alignment horizontal="center" vertical="center"/>
    </xf>
    <xf numFmtId="0" fontId="23" fillId="6" borderId="8" xfId="0">
      <alignment horizontal="center" vertical="center" wrapText="1"/>
    </xf>
    <xf numFmtId="306" fontId="23" fillId="6" borderId="8" xfId="0" applyFont="1" applyFill="1" applyBorder="1" applyAlignment="1">
      <alignment horizontal="center" vertical="center" wrapText="1"/>
    </xf>
    <xf numFmtId="0" fontId="23" fillId="6" borderId="8" xfId="0">
      <alignment horizontal="center" vertical="center"/>
    </xf>
    <xf fontId="23" fillId="6" borderId="8" xfId="0">
      <alignment horizontal="center" vertical="center"/>
    </xf>
    <xf numFmtId="0" fontId="41" fillId="6" borderId="7" xfId="0">
      <alignment horizontal="center" vertical="center" wrapText="1"/>
    </xf>
    <xf numFmtId="0" fontId="28" fillId="6" borderId="8" xfId="0" applyNumberFormat="1" applyFont="1" applyFill="1" applyBorder="1" applyAlignment="1">
      <alignment horizontal="left" vertical="center" wrapText="1" indent="2"/>
    </xf>
    <xf fontId="22" fillId="6" borderId="7" xfId="0">
      <alignment horizontal="center" vertical="center"/>
    </xf>
    <xf fontId="44" fillId="10" borderId="7" xfId="0"/>
    <xf numFmtId="0" fontId="28" fillId="6" borderId="7" xfId="0">
      <alignment horizontal="left" vertical="center" wrapText="1" indent="2"/>
    </xf>
    <xf fontId="45" fillId="10" borderId="7" xfId="0"/>
    <xf fontId="36" fillId="6" borderId="9" xfId="0">
      <alignment horizontal="center" vertical="center"/>
    </xf>
    <xf numFmtId="0" fontId="28" fillId="6" borderId="8" xfId="0">
      <alignment horizontal="left" vertical="center" wrapText="1" indent="2"/>
    </xf>
    <xf fontId="23" fillId="6" borderId="8" xfId="0">
      <alignment horizontal="center" vertical="center" wrapText="1"/>
    </xf>
    <xf numFmtId="0" fontId="38" fillId="6" borderId="7" xfId="0">
      <alignment horizontal="center" vertical="center"/>
    </xf>
    <xf fontId="25" fillId="6" borderId="7" xfId="0">
      <alignment horizontal="center" vertical="center"/>
    </xf>
    <xf numFmtId="0" fontId="27" fillId="6" borderId="7" xfId="0">
      <alignment horizontal="center" vertical="center"/>
    </xf>
    <xf numFmtId="0" fontId="39" fillId="9" borderId="7" xfId="0">
      <alignment horizontal="left" vertical="center" wrapText="1" indent="2"/>
    </xf>
    <xf fontId="46" fillId="7" borderId="7" xfId="0">
      <alignment horizontal="center" vertical="center"/>
    </xf>
    <xf fontId="41" fillId="6" borderId="7" xfId="0">
      <alignment horizontal="center" vertical="center" wrapText="1"/>
    </xf>
    <xf numFmtId="0" fontId="37" fillId="11" borderId="7" xfId="0" applyNumberFormat="1" applyFont="1" applyFill="1" applyBorder="1" applyAlignment="1">
      <alignment horizontal="center" vertical="center"/>
    </xf>
    <xf numFmtId="0" fontId="25" fillId="9" borderId="10" xfId="0">
      <alignment horizontal="center" vertical="center"/>
    </xf>
    <xf numFmtId="0" fontId="40" fillId="6" borderId="7" xfId="0">
      <alignment horizontal="center" vertical="center"/>
    </xf>
    <xf numFmtId="0" fontId="27" fillId="9" borderId="7" xfId="0" applyNumberFormat="1" applyFont="1" applyFill="1" applyBorder="1" applyAlignment="1">
      <alignment horizontal="center" vertical="center" wrapText="1"/>
    </xf>
    <xf numFmtId="0" fontId="25" fillId="12" borderId="10" xfId="0" applyNumberFormat="1" applyFont="1" applyFill="1" applyBorder="1" applyAlignment="1">
      <alignment horizontal="center" vertical="center"/>
    </xf>
    <xf numFmtId="0" fontId="25" fillId="12" borderId="9" xfId="0" applyNumberFormat="1" applyFont="1" applyFill="1" applyBorder="1" applyAlignment="1">
      <alignment horizontal="center" vertical="center" wrapText="1"/>
    </xf>
    <xf numFmtId="0" fontId="39" fillId="13" borderId="9" xfId="0">
      <alignment horizontal="left" vertical="center" wrapText="1" indent="2"/>
    </xf>
    <xf numFmtId="0" fontId="41" fillId="9" borderId="7" xfId="0">
      <alignment horizontal="center" vertical="center" wrapText="1"/>
    </xf>
    <xf numFmtId="0" fontId="47" fillId="9" borderId="9" xfId="0">
      <alignment horizontal="left" vertical="center" wrapText="1" indent="2"/>
    </xf>
    <xf fontId="38" fillId="14" borderId="22" xfId="0">
      <alignment horizontal="center" vertical="center"/>
    </xf>
    <xf fontId="25" fillId="14" borderId="23" xfId="0">
      <alignment horizontal="center" vertical="center"/>
    </xf>
    <xf fontId="25" fillId="14" borderId="24" xfId="0">
      <alignment horizontal="center" vertical="center"/>
    </xf>
    <xf numFmtId="0" fontId="41" fillId="6" borderId="7" xfId="0" applyNumberFormat="1" applyFont="1" applyFill="1" applyBorder="1" applyAlignment="1">
      <alignment horizontal="center" vertical="center" wrapText="1"/>
    </xf>
    <xf fontId="25" fillId="14" borderId="22" xfId="0">
      <alignment horizontal="center" vertical="center"/>
    </xf>
    <xf fontId="25" fillId="6" borderId="22" xfId="0">
      <alignment horizontal="center" vertical="center"/>
    </xf>
    <xf fontId="25" fillId="14" borderId="22" xfId="0">
      <alignment horizontal="center" vertical="center" wrapText="1"/>
    </xf>
    <xf numFmtId="0" fontId="47" fillId="6" borderId="22" xfId="0">
      <alignment horizontal="left" vertical="center" wrapText="1" indent="2"/>
    </xf>
    <xf fontId="38" fillId="9" borderId="7" xfId="0">
      <alignment horizontal="center" vertical="center"/>
    </xf>
    <xf fontId="48" fillId="15" borderId="7" xfId="0"/>
    <xf numFmtId="306" fontId="25" fillId="9" borderId="7" xfId="0" applyFont="1" applyFill="1" applyBorder="1" applyAlignment="1">
      <alignment horizontal="center" vertical="center"/>
    </xf>
    <xf numFmtId="2" fontId="36" fillId="9" borderId="7" xfId="0">
      <alignment horizontal="center" vertical="center"/>
    </xf>
    <xf numFmtId="2" fontId="25" fillId="9" borderId="7" xfId="0" applyNumberFormat="1" applyFont="1" applyFill="1" applyBorder="1" applyAlignment="1">
      <alignment horizontal="center" vertical="center"/>
    </xf>
    <xf numFmtId="2" fontId="25" fillId="6" borderId="7" xfId="0">
      <alignment horizontal="center" vertical="center"/>
    </xf>
    <xf numFmtId="306" fontId="27" fillId="9" borderId="7" xfId="0" applyFont="1" applyFill="1" applyBorder="1" applyAlignment="1">
      <alignment horizontal="center" vertical="center"/>
    </xf>
    <xf fontId="22" fillId="6" borderId="9" xfId="0">
      <alignment horizontal="center" vertical="center"/>
    </xf>
    <xf numFmtId="0" fontId="23" fillId="8" borderId="10" xfId="0" applyNumberFormat="1" applyFont="1" applyFill="1" applyBorder="1" applyAlignment="1">
      <alignment horizontal="center" vertical="center"/>
    </xf>
    <xf numFmtId="0" fontId="23" fillId="6" borderId="9" xfId="0" applyNumberFormat="1" applyFont="1" applyFill="1" applyBorder="1" applyAlignment="1">
      <alignment horizontal="center" vertical="center" wrapText="1"/>
    </xf>
    <xf numFmtId="306" fontId="23" fillId="6" borderId="9" xfId="0" applyFont="1" applyFill="1" applyBorder="1" applyAlignment="1">
      <alignment horizontal="center" vertical="center" wrapText="1"/>
    </xf>
    <xf numFmtId="0" fontId="23" fillId="8" borderId="9" xfId="0" applyNumberFormat="1" applyFont="1" applyFill="1" applyBorder="1" applyAlignment="1">
      <alignment horizontal="center" vertical="center" wrapText="1"/>
    </xf>
    <xf numFmtId="306" fontId="23" fillId="6" borderId="25" xfId="0" applyFont="1" applyFill="1" applyBorder="1" applyAlignment="1">
      <alignment horizontal="center" vertical="center" wrapText="1"/>
    </xf>
    <xf numFmtId="0" fontId="25" fillId="8" borderId="7" xfId="0">
      <alignment horizontal="center" vertical="center"/>
    </xf>
    <xf numFmtId="0" fontId="28" fillId="6" borderId="7" xfId="0" applyNumberFormat="1" applyFont="1" applyFill="1" applyBorder="1" applyAlignment="1">
      <alignment horizontal="left" vertical="center" wrapText="1" indent="2"/>
    </xf>
    <xf numFmtId="0" fontId="39" fillId="6" borderId="7" xfId="0" applyNumberFormat="1" applyFont="1" applyFill="1" applyBorder="1" applyAlignment="1">
      <alignment horizontal="left" vertical="center" wrapText="1" indent="2"/>
    </xf>
    <xf fontId="0" fillId="0" borderId="26" xfId="0"/>
    <xf fontId="0" fillId="0" borderId="27" xfId="0"/>
    <xf fontId="0" fillId="0" borderId="28" xfId="0"/>
    <xf numFmtId="0" fontId="49" fillId="6" borderId="7" xfId="0">
      <alignment horizontal="center" vertical="center"/>
    </xf>
    <xf numFmtId="0" fontId="27" fillId="6" borderId="9" xfId="0">
      <alignment horizontal="center" vertical="center"/>
    </xf>
    <xf numFmtId="0" fontId="39" fillId="6" borderId="9" xfId="0" applyNumberFormat="1" applyFont="1" applyFill="1" applyBorder="1" applyAlignment="1">
      <alignment horizontal="left" vertical="center" wrapText="1" indent="2"/>
    </xf>
    <xf numFmtId="0" fontId="25" fillId="12" borderId="10" xfId="0" applyNumberFormat="1" applyFont="1" applyFill="1" applyBorder="1" applyAlignment="1">
      <alignment horizontal="center" vertical="center" wrapText="1"/>
    </xf>
    <xf numFmtId="0" fontId="25" fillId="8" borderId="9" xfId="0">
      <alignment horizontal="center" vertical="center" wrapText="1"/>
    </xf>
    <xf numFmtId="67" fontId="25" fillId="12" borderId="9" xfId="0" applyNumberFormat="1" applyFont="1" applyFill="1" applyBorder="1" applyAlignment="1">
      <alignment horizontal="center" vertical="center" wrapText="1"/>
    </xf>
    <xf numFmtId="0" fontId="41" fillId="9" borderId="7" xfId="0" applyNumberFormat="1" applyFont="1" applyFill="1" applyBorder="1" applyAlignment="1">
      <alignment horizontal="center" vertical="center" wrapText="1"/>
    </xf>
    <xf fontId="25" fillId="6" borderId="7" xfId="0"/>
    <xf numFmtId="60" fontId="36" fillId="6" borderId="7" xfId="0">
      <alignment horizontal="center" vertical="center"/>
    </xf>
    <xf numFmtId="60" fontId="25" fillId="6" borderId="7" xfId="0" applyNumberFormat="1" applyFont="1" applyFill="1" applyBorder="1" applyAlignment="1">
      <alignment horizontal="center" vertical="center"/>
    </xf>
    <xf numFmtId="306" fontId="27" fillId="6" borderId="7" xfId="0" applyFont="1" applyFill="1" applyBorder="1" applyAlignment="1">
      <alignment horizontal="center" vertical="center"/>
    </xf>
    <xf fontId="44" fillId="10" borderId="8" xfId="0"/>
    <xf numFmtId="306" fontId="30" fillId="7" borderId="8" xfId="0" applyFont="1" applyFill="1" applyBorder="1" applyAlignment="1">
      <alignment horizontal="center" vertical="center"/>
    </xf>
    <xf numFmtId="0" fontId="23" fillId="6" borderId="8" xfId="0" applyNumberFormat="1" applyFont="1" applyFill="1" applyBorder="1" applyAlignment="1">
      <alignment horizontal="center" vertical="center"/>
    </xf>
    <xf numFmtId="306" fontId="23" fillId="9" borderId="8" xfId="0" applyFont="1" applyFill="1" applyBorder="1" applyAlignment="1">
      <alignment horizontal="center" vertical="center"/>
    </xf>
    <xf numFmtId="0" fontId="23" fillId="6" borderId="8" xfId="0" applyNumberFormat="1" applyFont="1" applyFill="1" applyBorder="1" applyAlignment="1">
      <alignment horizontal="center" vertical="center" wrapText="1"/>
    </xf>
    <xf numFmtId="306" fontId="25" fillId="6" borderId="9" xfId="0" applyFont="1" applyFill="1" applyBorder="1" applyAlignment="1">
      <alignment horizontal="center" vertical="center" wrapText="1"/>
    </xf>
    <xf numFmtId="306" fontId="27" fillId="6" borderId="9" xfId="0" applyFont="1" applyFill="1" applyBorder="1" applyAlignment="1">
      <alignment horizontal="center" vertical="center"/>
    </xf>
    <xf numFmtId="0" fontId="28" fillId="6" borderId="25" xfId="0" applyNumberFormat="1" applyFont="1" applyFill="1" applyBorder="1" applyAlignment="1">
      <alignment horizontal="left" vertical="center" wrapText="1" indent="2"/>
    </xf>
    <xf numFmtId="0" fontId="25" fillId="6" borderId="7" xfId="0"/>
    <xf numFmtId="0" fontId="50" fillId="3" borderId="7" xfId="0">
      <alignment horizontal="center" vertical="center" wrapText="1"/>
    </xf>
    <xf fontId="7" fillId="3" borderId="7" xfId="0">
      <alignment horizontal="center" vertical="center" wrapText="1"/>
    </xf>
    <xf fontId="51" fillId="3" borderId="7" xfId="0">
      <alignment horizontal="center" vertical="center" wrapText="1"/>
    </xf>
    <xf numFmtId="306" fontId="23" fillId="3" borderId="8" xfId="0" applyFont="1" applyFill="1" applyBorder="1" applyAlignment="1">
      <alignment horizontal="center" vertical="center" wrapText="1"/>
    </xf>
    <xf numFmtId="306" fontId="51" fillId="3" borderId="8" xfId="0" applyFont="1" applyFill="1" applyBorder="1" applyAlignment="1">
      <alignment horizontal="center" vertical="center" wrapText="1"/>
    </xf>
    <xf numFmtId="0" fontId="51" fillId="3" borderId="8" xfId="0" applyNumberFormat="1" applyFont="1" applyFill="1" applyBorder="1" applyAlignment="1">
      <alignment horizontal="center" vertical="center"/>
    </xf>
    <xf numFmtId="0" fontId="51" fillId="3" borderId="8" xfId="0" applyNumberFormat="1" applyFont="1" applyFill="1" applyBorder="1" applyAlignment="1">
      <alignment horizontal="center" vertical="center" wrapText="1"/>
    </xf>
    <xf numFmtId="306" fontId="51" fillId="3" borderId="7" xfId="0" applyFont="1" applyFill="1" applyBorder="1" applyAlignment="1">
      <alignment horizontal="center" vertical="center" wrapText="1"/>
    </xf>
    <xf numFmtId="67" fontId="23" fillId="3" borderId="8" xfId="0" applyNumberFormat="1" applyFont="1" applyFill="1" applyBorder="1" applyAlignment="1">
      <alignment horizontal="center" vertical="center" wrapText="1"/>
    </xf>
    <xf numFmtId="67" fontId="23" fillId="16" borderId="8" xfId="0" applyNumberFormat="1" applyFont="1" applyFill="1" applyBorder="1" applyAlignment="1">
      <alignment horizontal="center" vertical="center" wrapText="1"/>
    </xf>
    <xf numFmtId="0" fontId="51" fillId="16" borderId="7" xfId="0" applyNumberFormat="1" applyFont="1" applyFill="1" applyBorder="1" applyAlignment="1">
      <alignment horizontal="center" vertical="center"/>
    </xf>
    <xf numFmtId="306" fontId="24" fillId="3" borderId="8" xfId="0" applyFont="1" applyFill="1" applyBorder="1" applyAlignment="1">
      <alignment horizontal="center" vertical="center" wrapText="1"/>
    </xf>
    <xf numFmtId="9" fontId="24" fillId="3" borderId="8" xfId="0" applyNumberFormat="1" applyFont="1" applyFill="1" applyBorder="1" applyAlignment="1">
      <alignment horizontal="center" vertical="center" wrapText="1"/>
    </xf>
    <xf fontId="38" fillId="11" borderId="9" xfId="0">
      <alignment horizontal="center" vertical="center"/>
    </xf>
    <xf fontId="25" fillId="9" borderId="10" xfId="0">
      <alignment horizontal="center" vertical="center"/>
    </xf>
    <xf fontId="48" fillId="15" borderId="29" xfId="0"/>
    <xf numFmtId="301" fontId="25" fillId="9" borderId="7" xfId="0">
      <alignment horizontal="center" vertical="center" wrapText="1"/>
    </xf>
    <xf numFmtId="67" fontId="25" fillId="9" borderId="7" xfId="0">
      <alignment horizontal="center" vertical="center" wrapText="1"/>
    </xf>
    <xf numFmtId="301" fontId="25" fillId="9" borderId="19" xfId="0">
      <alignment horizontal="center" vertical="center"/>
    </xf>
    <xf numFmtId="0" fontId="25" fillId="15" borderId="7" xfId="0">
      <alignment horizontal="center" vertical="center"/>
    </xf>
    <xf numFmtId="0" fontId="52" fillId="15" borderId="0" xfId="0">
      <alignment horizontal="center" vertical="center"/>
    </xf>
    <xf fontId="48" fillId="15" borderId="22" xfId="0"/>
    <xf fontId="48" fillId="15" borderId="23" xfId="0"/>
    <xf fontId="48" fillId="15" borderId="24" xfId="0"/>
    <xf numFmtId="301" fontId="25" fillId="9" borderId="7" xfId="0">
      <alignment horizontal="center" vertical="center"/>
    </xf>
    <xf numFmtId="67" fontId="25" fillId="9" borderId="7" xfId="0">
      <alignment horizontal="center" vertical="center"/>
    </xf>
    <xf numFmtId="301" fontId="25" fillId="9" borderId="19" xfId="0">
      <alignment horizontal="center" vertical="center"/>
    </xf>
    <xf numFmtId="0" fontId="52" fillId="15" borderId="0" xfId="0"/>
    <xf numFmtId="0" fontId="53" fillId="17" borderId="0" xfId="0">
      <alignment horizontal="center" vertical="center"/>
    </xf>
    <xf numFmtId="301" fontId="25" fillId="9" borderId="19" xfId="0">
      <alignment horizontal="center" vertical="center" wrapText="1"/>
    </xf>
    <xf numFmtId="0" fontId="25" fillId="9" borderId="7" xfId="0"/>
    <xf fontId="38" fillId="11" borderId="9" xfId="0">
      <alignment horizontal="center" vertical="center"/>
    </xf>
    <xf fontId="25" fillId="18" borderId="10" xfId="0">
      <alignment horizontal="center" vertical="center"/>
    </xf>
    <xf fontId="25" fillId="18" borderId="7" xfId="0">
      <alignment horizontal="center" vertical="center"/>
    </xf>
    <xf numFmtId="0" fontId="25" fillId="18" borderId="7" xfId="0">
      <alignment horizontal="center" vertical="center"/>
    </xf>
    <xf numFmtId="0" fontId="25" fillId="18" borderId="7" xfId="0">
      <alignment horizontal="center" vertical="center" wrapText="1"/>
    </xf>
    <xf numFmtId="301" fontId="25" fillId="18" borderId="7" xfId="0">
      <alignment horizontal="center" vertical="center" wrapText="1"/>
    </xf>
    <xf numFmtId="67" fontId="25" fillId="18" borderId="7" xfId="0">
      <alignment horizontal="center" vertical="center" wrapText="1"/>
    </xf>
    <xf numFmtId="301" fontId="25" fillId="18" borderId="19" xfId="0">
      <alignment horizontal="center" vertical="center"/>
    </xf>
    <xf numFmtId="0" fontId="41" fillId="15" borderId="7" xfId="0">
      <alignment horizontal="center" vertical="center" wrapText="1"/>
    </xf>
    <xf numFmtId="0" fontId="41" fillId="0" borderId="7" xfId="0">
      <alignment horizontal="center" vertical="center" wrapText="1"/>
    </xf>
    <xf numFmtId="0" fontId="25" fillId="9" borderId="7" xfId="0" applyNumberFormat="1" applyFont="1" applyFill="1" applyBorder="1"/>
    <xf numFmtId="0" fontId="52" fillId="0" borderId="82" xfId="0" applyNumberFormat="1" applyFont="1"/>
    <xf numFmtId="0" fontId="25" fillId="0" borderId="7" xfId="0" applyNumberFormat="1" applyFont="1" applyBorder="1"/>
    <xf fontId="22" fillId="11" borderId="7" xfId="0">
      <alignment horizontal="center" vertical="center"/>
    </xf>
    <xf fontId="25" fillId="18" borderId="7" xfId="0">
      <alignment horizontal="center" vertical="center"/>
    </xf>
    <xf fontId="48" fillId="15" borderId="7" xfId="0">
      <alignment/>
    </xf>
    <xf numFmtId="0" fontId="25" fillId="18" borderId="7" xfId="0">
      <alignment horizontal="center" vertical="center"/>
    </xf>
    <xf numFmtId="301" fontId="25" fillId="18" borderId="7" xfId="0">
      <alignment horizontal="center" vertical="center"/>
    </xf>
    <xf numFmtId="67" fontId="25" fillId="18" borderId="7" xfId="0">
      <alignment horizontal="center" vertical="center"/>
    </xf>
    <xf numFmtId="301" fontId="25" fillId="18" borderId="19" xfId="0">
      <alignment horizontal="center" vertical="center"/>
    </xf>
    <xf numFmtId="0" fontId="52" fillId="0" borderId="30" xfId="0" applyNumberFormat="1" applyFont="1" applyBorder="1"/>
    <xf fontId="38" fillId="11" borderId="7" xfId="0">
      <alignment horizontal="center" vertical="center"/>
    </xf>
    <xf fontId="25" fillId="18" borderId="19" xfId="0">
      <alignment horizontal="center" vertical="center"/>
    </xf>
    <xf fontId="0" fillId="0" borderId="31" xfId="0"/>
    <xf fontId="0" fillId="0" borderId="32" xfId="0"/>
    <xf numFmtId="301" fontId="25" fillId="18" borderId="7" xfId="0">
      <alignment horizontal="center" vertical="center"/>
    </xf>
    <xf numFmtId="0" fontId="52" fillId="0" borderId="0" xfId="0">
      <alignment horizontal="center" vertical="center"/>
    </xf>
    <xf fontId="38" fillId="7" borderId="12" xfId="0"/>
    <xf fontId="25" fillId="9" borderId="7" xfId="0">
      <alignment horizontal="center" vertical="center"/>
    </xf>
    <xf numFmtId="0" fontId="25" fillId="0" borderId="7" xfId="0" applyNumberFormat="1" applyFont="1" applyBorder="1"/>
    <xf fontId="38" fillId="19" borderId="9" xfId="0">
      <alignment horizontal="center" vertical="center"/>
    </xf>
    <xf fontId="38" fillId="7" borderId="7" xfId="0">
      <alignment horizontal="center" vertical="center"/>
    </xf>
    <xf fontId="25" fillId="19" borderId="10" xfId="0">
      <alignment horizontal="center" vertical="center"/>
    </xf>
    <xf fontId="0" fillId="0" borderId="33" xfId="0"/>
    <xf numFmtId="0" fontId="25" fillId="19" borderId="7" xfId="0">
      <alignment horizontal="center" vertical="center"/>
    </xf>
    <xf numFmtId="301" fontId="25" fillId="19" borderId="7" xfId="0">
      <alignment horizontal="center" vertical="center"/>
    </xf>
    <xf numFmtId="67" fontId="25" fillId="19" borderId="7" xfId="0">
      <alignment horizontal="center" vertical="center" wrapText="1"/>
    </xf>
    <xf numFmtId="301" fontId="25" fillId="17" borderId="19" xfId="0">
      <alignment horizontal="center" vertical="center"/>
    </xf>
    <xf numFmtId="0" fontId="25" fillId="17" borderId="7" xfId="0" applyNumberFormat="1" applyFont="1" applyFill="1" applyBorder="1"/>
    <xf fontId="54" fillId="7" borderId="7" xfId="0">
      <alignment horizontal="center" vertical="center"/>
    </xf>
    <xf fontId="0" fillId="0" borderId="34" xfId="0"/>
    <xf fontId="45" fillId="10" borderId="7" xfId="0">
      <alignment/>
    </xf>
    <xf numFmtId="301" fontId="25" fillId="19" borderId="19" xfId="0">
      <alignment horizontal="center" vertical="center"/>
    </xf>
    <xf fontId="55" fillId="11" borderId="7" xfId="0">
      <alignment horizontal="center" vertical="center"/>
    </xf>
    <xf numFmtId="0" fontId="25" fillId="9" borderId="7" xfId="0">
      <alignment horizontal="center" vertical="center"/>
    </xf>
    <xf fontId="25" fillId="9" borderId="7" xfId="0">
      <alignment horizontal="center" vertical="center" wrapText="1"/>
    </xf>
    <xf numFmtId="67" fontId="25" fillId="9" borderId="7" xfId="0">
      <alignment horizontal="center" vertical="center"/>
    </xf>
    <xf fontId="25" fillId="6" borderId="19" xfId="0">
      <alignment horizontal="center" vertical="center"/>
    </xf>
    <xf fontId="25" fillId="9" borderId="7" xfId="0">
      <alignment horizontal="center" vertical="center" wrapText="1"/>
    </xf>
    <xf numFmtId="67" fontId="25" fillId="6" borderId="7" xfId="0">
      <alignment horizontal="center" vertical="center" wrapText="1"/>
    </xf>
    <xf numFmtId="0" fontId="25" fillId="15" borderId="7" xfId="0" applyNumberFormat="1" applyFont="1" applyFill="1" applyBorder="1"/>
    <xf numFmtId="0" fontId="52" fillId="15" borderId="82" xfId="0" applyNumberFormat="1" applyFont="1" applyFill="1"/>
    <xf numFmtId="0" fontId="25" fillId="15" borderId="7" xfId="0" applyNumberFormat="1" applyFont="1" applyFill="1" applyBorder="1" applyAlignment="1">
      <alignment horizontal="center" vertical="center"/>
    </xf>
    <xf numFmtId="0" fontId="52" fillId="15" borderId="82" xfId="0" applyNumberFormat="1" applyFont="1" applyFill="1" applyAlignment="1">
      <alignment horizontal="center" vertical="center"/>
    </xf>
    <xf fontId="56" fillId="11" borderId="7" xfId="0">
      <alignment horizontal="center" vertical="center"/>
    </xf>
    <xf numFmtId="301" fontId="25" fillId="9" borderId="7" xfId="0">
      <alignment horizontal="center" vertical="center"/>
    </xf>
    <xf fontId="38" fillId="17" borderId="9" xfId="0">
      <alignment horizontal="center" vertical="center"/>
    </xf>
    <xf numFmtId="59" fontId="25" fillId="9" borderId="7" xfId="0">
      <alignment horizontal="center" vertical="center"/>
    </xf>
    <xf numFmtId="0" fontId="25" fillId="17" borderId="7" xfId="0" applyNumberFormat="1" applyFont="1" applyFill="1" applyBorder="1" applyAlignment="1">
      <alignment horizontal="center" vertical="center"/>
    </xf>
    <xf numFmtId="0" fontId="52" fillId="17" borderId="82" xfId="0" applyNumberFormat="1" applyFont="1" applyFill="1" applyAlignment="1">
      <alignment horizontal="center" vertical="center"/>
    </xf>
    <xf fontId="38" fillId="11" borderId="9" xfId="0">
      <alignment horizontal="center" vertical="center"/>
    </xf>
    <xf fontId="25" fillId="9" borderId="10" xfId="0">
      <alignment horizontal="center" vertical="center"/>
    </xf>
    <xf fontId="23" fillId="6" borderId="7" xfId="0">
      <alignment horizontal="center" vertical="center"/>
    </xf>
    <xf numFmtId="0" fontId="22" fillId="7" borderId="9" xfId="0" applyNumberFormat="1" applyFont="1" applyFill="1" applyBorder="1" applyAlignment="1">
      <alignment horizontal="center" vertical="center"/>
    </xf>
    <xf numFmtId="306" fontId="23" fillId="19" borderId="7" xfId="0" applyFont="1" applyFill="1" applyBorder="1" applyAlignment="1">
      <alignment horizontal="center" vertical="center"/>
    </xf>
    <xf numFmtId="0" fontId="23" fillId="19" borderId="7" xfId="0" applyNumberFormat="1" applyFont="1" applyFill="1" applyBorder="1" applyAlignment="1">
      <alignment horizontal="center" vertical="center"/>
    </xf>
    <xf numFmtId="301" fontId="23" fillId="19" borderId="7" xfId="0" applyNumberFormat="1" applyFont="1" applyFill="1" applyBorder="1" applyAlignment="1">
      <alignment horizontal="center" vertical="center"/>
    </xf>
    <xf numFmtId="67" fontId="23" fillId="19" borderId="7" xfId="0" applyNumberFormat="1" applyFont="1" applyFill="1" applyBorder="1" applyAlignment="1">
      <alignment horizontal="center" vertical="center"/>
    </xf>
    <xf numFmtId="301" fontId="23" fillId="19" borderId="19" xfId="0" applyNumberFormat="1" applyFont="1" applyFill="1" applyBorder="1" applyAlignment="1">
      <alignment horizontal="center" vertical="center"/>
    </xf>
    <xf numFmtId="0" fontId="25" fillId="19" borderId="7" xfId="0" applyNumberFormat="1" applyFont="1" applyFill="1" applyBorder="1" applyAlignment="1">
      <alignment horizontal="center" vertical="center"/>
    </xf>
    <xf numFmtId="0" fontId="52" fillId="19" borderId="82" xfId="0" applyNumberFormat="1" applyFont="1" applyFill="1" applyAlignment="1">
      <alignment horizontal="center" vertical="center"/>
    </xf>
    <xf fontId="38" fillId="19" borderId="22" xfId="0">
      <alignment horizontal="center" vertical="center"/>
    </xf>
    <xf numFmtId="0" fontId="52" fillId="19" borderId="0" xfId="0">
      <alignment horizontal="center" vertical="center"/>
    </xf>
    <xf fontId="22" fillId="7" borderId="7" xfId="0">
      <alignment horizontal="center" vertical="center"/>
    </xf>
    <xf fontId="23" fillId="19" borderId="7" xfId="0">
      <alignment horizontal="center" vertical="center"/>
    </xf>
    <xf fontId="24" fillId="7" borderId="7" xfId="0">
      <alignment horizontal="center" vertical="center"/>
    </xf>
    <xf numFmtId="0" fontId="23" fillId="19" borderId="7" xfId="0">
      <alignment horizontal="center" vertical="center" wrapText="1"/>
    </xf>
    <xf fontId="29" fillId="19" borderId="7" xfId="0">
      <alignment horizontal="center" vertical="center"/>
    </xf>
    <xf numFmtId="301" fontId="29" fillId="19" borderId="7" xfId="0">
      <alignment horizontal="center" vertical="center"/>
    </xf>
    <xf numFmtId="67" fontId="23" fillId="19" borderId="7" xfId="0">
      <alignment horizontal="center" vertical="center" wrapText="1"/>
    </xf>
    <xf numFmtId="301" fontId="23" fillId="19" borderId="19" xfId="0">
      <alignment horizontal="center" vertical="center"/>
    </xf>
    <xf fontId="33" fillId="7" borderId="7" xfId="0">
      <alignment horizontal="center" vertical="center"/>
    </xf>
    <xf fontId="44" fillId="10" borderId="7" xfId="0">
      <alignment/>
    </xf>
    <xf fontId="57" fillId="19" borderId="9" xfId="0">
      <alignment horizontal="center" vertical="center"/>
    </xf>
    <xf fontId="25" fillId="17" borderId="7" xfId="0">
      <alignment horizontal="center" vertical="center"/>
    </xf>
    <xf fontId="25" fillId="17" borderId="7" xfId="0">
      <alignment horizontal="center" vertical="center" wrapText="1"/>
    </xf>
    <xf numFmtId="0" fontId="25" fillId="17" borderId="7" xfId="0">
      <alignment horizontal="center" vertical="center" wrapText="1"/>
    </xf>
    <xf numFmtId="301" fontId="25" fillId="17" borderId="7" xfId="0">
      <alignment horizontal="center" vertical="center" wrapText="1"/>
    </xf>
    <xf numFmtId="67" fontId="25" fillId="17" borderId="7" xfId="0">
      <alignment horizontal="center" vertical="center" wrapText="1"/>
    </xf>
    <xf numFmtId="301" fontId="25" fillId="17" borderId="19" xfId="0">
      <alignment horizontal="center" vertical="center"/>
    </xf>
    <xf fontId="25" fillId="17" borderId="7" xfId="0">
      <alignment horizontal="center" vertical="center" wrapText="1"/>
    </xf>
    <xf numFmtId="67" fontId="25" fillId="17" borderId="7" xfId="0">
      <alignment horizontal="center" vertical="center"/>
    </xf>
    <xf numFmtId="0" fontId="53" fillId="20" borderId="82" xfId="0" applyNumberFormat="1" applyFont="1" applyFill="1" applyAlignment="1">
      <alignment horizontal="center" vertical="center"/>
    </xf>
    <xf fontId="54" fillId="19" borderId="22" xfId="0">
      <alignment horizontal="center" vertical="center"/>
    </xf>
    <xf fontId="25" fillId="17" borderId="9" xfId="0">
      <alignment horizontal="center" vertical="center"/>
    </xf>
    <xf numFmtId="0" fontId="23" fillId="19" borderId="8" xfId="0" applyNumberFormat="1" applyFont="1" applyFill="1" applyBorder="1" applyAlignment="1">
      <alignment horizontal="center" vertical="center"/>
    </xf>
    <xf numFmtId="306" fontId="22" fillId="7" borderId="25" xfId="0" applyFont="1" applyFill="1" applyBorder="1" applyAlignment="1">
      <alignment horizontal="center" vertical="center"/>
    </xf>
    <xf numFmtId="306" fontId="23" fillId="8" borderId="25" xfId="0" applyFont="1" applyFill="1" applyBorder="1" applyAlignment="1">
      <alignment horizontal="center" vertical="center"/>
    </xf>
    <xf numFmtId="306" fontId="23" fillId="19" borderId="8" xfId="0" applyFont="1" applyFill="1" applyBorder="1" applyAlignment="1">
      <alignment horizontal="center" vertical="center"/>
    </xf>
    <xf numFmtId="306" fontId="23" fillId="19" borderId="8" xfId="0" applyFont="1" applyFill="1" applyBorder="1" applyAlignment="1">
      <alignment horizontal="center" vertical="center" wrapText="1"/>
    </xf>
    <xf numFmtId="0" fontId="23" fillId="19" borderId="8" xfId="0" applyNumberFormat="1" applyFont="1" applyFill="1" applyBorder="1" applyAlignment="1">
      <alignment horizontal="center" vertical="center" wrapText="1"/>
    </xf>
    <xf numFmtId="301" fontId="23" fillId="8" borderId="8" xfId="0" applyNumberFormat="1" applyFont="1" applyFill="1" applyBorder="1" applyAlignment="1">
      <alignment horizontal="center" vertical="center" wrapText="1"/>
    </xf>
    <xf numFmtId="67" fontId="23" fillId="19" borderId="8" xfId="0" applyNumberFormat="1" applyFont="1" applyFill="1" applyBorder="1" applyAlignment="1">
      <alignment horizontal="center" vertical="center" wrapText="1"/>
    </xf>
    <xf numFmtId="301" fontId="23" fillId="8" borderId="35" xfId="0" applyNumberFormat="1" applyFont="1" applyFill="1" applyBorder="1" applyAlignment="1">
      <alignment horizontal="center" vertical="center"/>
    </xf>
    <xf numFmtId="0" fontId="23" fillId="19" borderId="7" xfId="0">
      <alignment horizontal="center" vertical="center"/>
    </xf>
    <xf numFmtId="0" fontId="58" fillId="17" borderId="82" xfId="0" applyNumberFormat="1" applyFont="1" applyFill="1" applyAlignment="1">
      <alignment horizontal="center" vertical="center"/>
    </xf>
    <xf fontId="25" fillId="19" borderId="29" xfId="0">
      <alignment horizontal="center" vertical="center"/>
    </xf>
    <xf fontId="25" fillId="19" borderId="7" xfId="0">
      <alignment horizontal="center" vertical="center"/>
    </xf>
    <xf fontId="25" fillId="19" borderId="9" xfId="0">
      <alignment horizontal="center" vertical="center" wrapText="1"/>
    </xf>
    <xf fontId="25" fillId="19" borderId="7" xfId="0">
      <alignment horizontal="center" vertical="center" wrapText="1"/>
    </xf>
    <xf numFmtId="301" fontId="25" fillId="19" borderId="7" xfId="0">
      <alignment horizontal="center" vertical="center" wrapText="1"/>
    </xf>
    <xf numFmtId="0" fontId="25" fillId="19" borderId="9" xfId="0">
      <alignment horizontal="center" vertical="center"/>
    </xf>
    <xf numFmtId="301" fontId="25" fillId="17" borderId="7" xfId="0">
      <alignment horizontal="center" vertical="center"/>
    </xf>
    <xf numFmtId="67" fontId="25" fillId="19" borderId="7" xfId="0">
      <alignment horizontal="center" vertical="center" wrapText="1"/>
    </xf>
    <xf numFmtId="0" fontId="25" fillId="17" borderId="9" xfId="0" applyNumberFormat="1" applyFont="1" applyFill="1" applyBorder="1" applyAlignment="1">
      <alignment horizontal="center" vertical="center"/>
    </xf>
    <xf fontId="25" fillId="17" borderId="10" xfId="0">
      <alignment horizontal="center" vertical="center"/>
    </xf>
    <xf numFmtId="0" fontId="25" fillId="17" borderId="7" xfId="0">
      <alignment horizontal="center" vertical="center"/>
    </xf>
    <xf fontId="56" fillId="11" borderId="9" xfId="0">
      <alignment horizontal="center" vertical="center"/>
    </xf>
    <xf fontId="55" fillId="11" borderId="9" xfId="0">
      <alignment horizontal="center" vertical="center"/>
    </xf>
    <xf numFmtId="0" fontId="25" fillId="17" borderId="9" xfId="0">
      <alignment horizontal="center" vertical="center" wrapText="1"/>
    </xf>
    <xf fontId="25" fillId="17" borderId="9" xfId="0">
      <alignment horizontal="center" vertical="center" wrapText="1"/>
    </xf>
    <xf numFmtId="301" fontId="25" fillId="17" borderId="9" xfId="0">
      <alignment horizontal="center" vertical="center" wrapText="1"/>
    </xf>
    <xf numFmtId="67" fontId="55" fillId="11" borderId="9" xfId="0">
      <alignment horizontal="center" vertical="center"/>
    </xf>
    <xf numFmtId="301" fontId="25" fillId="17" borderId="10" xfId="0">
      <alignment horizontal="center" vertical="center"/>
    </xf>
    <xf fontId="38" fillId="17" borderId="7" xfId="0">
      <alignment horizontal="center" vertical="center"/>
    </xf>
    <xf numFmtId="0" fontId="25" fillId="19" borderId="7" xfId="0">
      <alignment horizontal="center" vertical="center"/>
    </xf>
    <xf fontId="0" fillId="0" borderId="19" xfId="0"/>
    <xf numFmtId="301" fontId="25" fillId="17" borderId="32" xfId="0">
      <alignment horizontal="center" vertical="center"/>
    </xf>
    <xf numFmtId="301" fontId="25" fillId="17" borderId="32" xfId="0">
      <alignment horizontal="center" vertical="center" wrapText="1"/>
    </xf>
    <xf fontId="25" fillId="19" borderId="7" xfId="0">
      <alignment horizontal="center" vertical="center"/>
    </xf>
    <xf numFmtId="0" fontId="59" fillId="19" borderId="36" xfId="0">
      <alignment horizontal="center" vertical="center"/>
    </xf>
    <xf numFmtId="67" fontId="59" fillId="19" borderId="36" xfId="0">
      <alignment horizontal="center" vertical="center"/>
    </xf>
    <xf numFmtId="0" fontId="60" fillId="3" borderId="8" xfId="0" applyNumberFormat="1" applyFont="1" applyFill="1" applyBorder="1" applyAlignment="1">
      <alignment horizontal="center" vertical="center" wrapText="1"/>
    </xf>
    <xf numFmtId="306" fontId="4" fillId="3" borderId="8" xfId="0" applyFont="1" applyFill="1" applyBorder="1" applyAlignment="1">
      <alignment horizontal="center" vertical="center" wrapText="1"/>
    </xf>
    <xf fontId="7" fillId="3" borderId="19" xfId="0">
      <alignment horizontal="center" vertical="center" wrapText="1"/>
    </xf>
    <xf fontId="61" fillId="3" borderId="7" xfId="0">
      <alignment horizontal="center" vertical="center"/>
    </xf>
    <xf numFmtId="306" fontId="9" fillId="3" borderId="8" xfId="0" applyFont="1" applyFill="1" applyBorder="1" applyAlignment="1">
      <alignment horizontal="center" vertical="center" wrapText="1"/>
    </xf>
    <xf numFmtId="306" fontId="9" fillId="3" borderId="7" xfId="0" applyFont="1" applyFill="1" applyBorder="1" applyAlignment="1">
      <alignment horizontal="center" vertical="center" wrapText="1"/>
    </xf>
    <xf numFmtId="306" fontId="11" fillId="3" borderId="8" xfId="0" applyFont="1" applyFill="1" applyBorder="1" applyAlignment="1">
      <alignment horizontal="center" vertical="center"/>
    </xf>
    <xf numFmtId="0" fontId="12" fillId="21" borderId="7" xfId="0">
      <alignment horizontal="center" vertical="center" wrapText="1"/>
    </xf>
    <xf numFmtId="306" fontId="11" fillId="3" borderId="8" xfId="0" applyFont="1" applyFill="1" applyBorder="1" applyAlignment="1">
      <alignment horizontal="center" vertical="center" wrapText="1"/>
    </xf>
    <xf numFmtId="306" fontId="23" fillId="3" borderId="8" xfId="0" applyFont="1" applyFill="1" applyBorder="1" applyAlignment="1">
      <alignment horizontal="center" vertical="center"/>
    </xf>
    <xf numFmtId="0" fontId="20" fillId="3" borderId="8" xfId="0" applyNumberFormat="1" applyFont="1" applyFill="1" applyBorder="1" applyAlignment="1">
      <alignment horizontal="center" vertical="center" wrapText="1"/>
    </xf>
    <xf numFmtId="0" fontId="61" fillId="3" borderId="8" xfId="0" applyNumberFormat="1" applyFont="1" applyFill="1" applyBorder="1" applyAlignment="1">
      <alignment horizontal="center" vertical="center" wrapText="1"/>
    </xf>
    <xf numFmtId="306" fontId="61" fillId="3" borderId="8" xfId="0" applyFont="1" applyFill="1" applyBorder="1" applyAlignment="1">
      <alignment horizontal="center" vertical="center" wrapText="1"/>
    </xf>
    <xf numFmtId="0" fontId="62" fillId="7" borderId="8" xfId="0" applyNumberFormat="1" applyFont="1" applyFill="1" applyBorder="1" applyAlignment="1">
      <alignment horizontal="center" vertical="center"/>
    </xf>
    <xf numFmtId="306" fontId="61" fillId="7" borderId="8" xfId="0" applyFont="1" applyFill="1" applyBorder="1" applyAlignment="1">
      <alignment horizontal="center" vertical="center"/>
    </xf>
    <xf numFmtId="306" fontId="61" fillId="19" borderId="8" xfId="0" applyFont="1" applyFill="1" applyBorder="1" applyAlignment="1">
      <alignment horizontal="center" vertical="center"/>
    </xf>
    <xf numFmtId="302" fontId="61" fillId="7" borderId="8" xfId="0" applyNumberFormat="1" applyFont="1" applyFill="1" applyBorder="1" applyAlignment="1">
      <alignment horizontal="center" vertical="center"/>
    </xf>
    <xf numFmtId="306" fontId="61" fillId="6" borderId="8" xfId="0" applyFont="1" applyFill="1" applyBorder="1" applyAlignment="1">
      <alignment horizontal="center" vertical="center"/>
    </xf>
    <xf numFmtId="302" fontId="61" fillId="6" borderId="8" xfId="0" applyNumberFormat="1" applyFont="1" applyFill="1" applyBorder="1" applyAlignment="1">
      <alignment horizontal="center" vertical="center"/>
    </xf>
    <xf numFmtId="306" fontId="63" fillId="7" borderId="8" xfId="0" applyFont="1" applyFill="1" applyBorder="1" applyAlignment="1">
      <alignment horizontal="center" vertical="center"/>
    </xf>
    <xf numFmtId="302" fontId="23" fillId="6" borderId="8" xfId="0" applyNumberFormat="1" applyFont="1" applyFill="1" applyBorder="1" applyAlignment="1">
      <alignment horizontal="center" vertical="center"/>
    </xf>
    <xf numFmtId="302" fontId="23" fillId="7" borderId="8" xfId="0" applyNumberFormat="1" applyFont="1" applyFill="1" applyBorder="1" applyAlignment="1">
      <alignment horizontal="center" vertical="center"/>
    </xf>
    <xf numFmtId="306" fontId="61" fillId="7" borderId="8" xfId="0" applyFont="1" applyFill="1" applyBorder="1" applyAlignment="1">
      <alignment horizontal="center" vertical="center" wrapText="1"/>
    </xf>
    <xf numFmtId="302" fontId="61" fillId="6" borderId="25" xfId="0" applyNumberFormat="1" applyFont="1" applyFill="1" applyBorder="1" applyAlignment="1">
      <alignment horizontal="center" vertical="center"/>
    </xf>
    <xf numFmtId="302" fontId="61" fillId="7" borderId="25" xfId="0" applyNumberFormat="1" applyFont="1" applyFill="1" applyBorder="1" applyAlignment="1">
      <alignment horizontal="center" vertical="center"/>
    </xf>
    <xf numFmtId="306" fontId="62" fillId="7" borderId="8" xfId="0" applyFont="1" applyFill="1" applyBorder="1" applyAlignment="1">
      <alignment horizontal="center" vertical="center"/>
    </xf>
    <xf numFmtId="0" fontId="23" fillId="6" borderId="37" xfId="0" applyNumberFormat="1" applyFont="1" applyFill="1" applyBorder="1" applyAlignment="1">
      <alignment horizontal="center" vertical="center"/>
    </xf>
    <xf numFmtId="0" fontId="61" fillId="6" borderId="8" xfId="0" applyNumberFormat="1" applyFont="1" applyFill="1" applyBorder="1" applyAlignment="1">
      <alignment horizontal="center" vertical="center"/>
    </xf>
    <xf numFmtId="306" fontId="33" fillId="7" borderId="7" xfId="0" applyFont="1" applyFill="1" applyBorder="1" applyAlignment="1">
      <alignment horizontal="center" vertical="center"/>
    </xf>
    <xf numFmtId="306" fontId="33" fillId="7" borderId="8" xfId="0" applyFont="1" applyFill="1" applyBorder="1" applyAlignment="1">
      <alignment horizontal="center" vertical="center"/>
    </xf>
    <xf numFmtId="302" fontId="61" fillId="19" borderId="8" xfId="0" applyNumberFormat="1" applyFont="1" applyFill="1" applyBorder="1" applyAlignment="1">
      <alignment horizontal="center" vertical="center"/>
    </xf>
    <xf numFmtId="0" fontId="23" fillId="22" borderId="7" xfId="0" applyNumberFormat="1" applyFont="1" applyFill="1" applyBorder="1" applyAlignment="1">
      <alignment horizontal="center" vertical="center"/>
    </xf>
    <xf numFmtId="306" fontId="61" fillId="22" borderId="8" xfId="0" applyFont="1" applyFill="1" applyBorder="1" applyAlignment="1">
      <alignment horizontal="center" vertical="center"/>
    </xf>
    <xf numFmtId="306" fontId="23" fillId="19" borderId="37" xfId="0" applyFont="1" applyFill="1" applyBorder="1" applyAlignment="1">
      <alignment horizontal="center" vertical="center"/>
    </xf>
    <xf numFmtId="0" fontId="64" fillId="19" borderId="8" xfId="0" applyNumberFormat="1" applyFont="1" applyFill="1" applyBorder="1" applyAlignment="1">
      <alignment horizontal="center" vertical="center" wrapText="1"/>
    </xf>
    <xf numFmtId="302" fontId="61" fillId="19" borderId="25" xfId="0" applyNumberFormat="1" applyFont="1" applyFill="1" applyBorder="1" applyAlignment="1">
      <alignment horizontal="center" vertical="center"/>
    </xf>
    <xf numFmtId="0" fontId="65" fillId="7" borderId="8" xfId="0" applyNumberFormat="1" applyFont="1" applyFill="1" applyBorder="1" applyAlignment="1">
      <alignment horizontal="center" vertical="center"/>
    </xf>
    <xf numFmtId="306" fontId="54" fillId="7" borderId="7" xfId="0" applyFont="1" applyFill="1" applyBorder="1" applyAlignment="1">
      <alignment horizontal="center" vertical="center"/>
    </xf>
    <xf numFmtId="306" fontId="66" fillId="19" borderId="23" xfId="0" applyFont="1" applyFill="1" applyBorder="1" applyAlignment="1">
      <alignment horizontal="center" vertical="center"/>
    </xf>
    <xf numFmtId="306" fontId="66" fillId="19" borderId="24" xfId="0" applyFont="1" applyFill="1" applyBorder="1" applyAlignment="1">
      <alignment horizontal="center" vertical="center"/>
    </xf>
    <xf numFmtId="0" fontId="64" fillId="6" borderId="8" xfId="0" applyNumberFormat="1" applyFont="1" applyFill="1" applyBorder="1" applyAlignment="1">
      <alignment horizontal="center" vertical="center" wrapText="1"/>
    </xf>
    <xf numFmtId="0" fontId="53" fillId="6" borderId="7" xfId="0" applyNumberFormat="1" applyFont="1" applyFill="1" applyBorder="1" applyAlignment="1">
      <alignment horizontal="center" vertical="center"/>
    </xf>
    <xf numFmtId="302" fontId="35" fillId="19" borderId="22" xfId="0" applyNumberFormat="1" applyFont="1" applyFill="1" applyBorder="1" applyAlignment="1">
      <alignment horizontal="center" vertical="center"/>
    </xf>
    <xf numFmtId="302" fontId="35" fillId="7" borderId="22" xfId="0" applyNumberFormat="1" applyFont="1" applyFill="1" applyBorder="1" applyAlignment="1">
      <alignment horizontal="center" vertical="center"/>
    </xf>
    <xf numFmtId="0" fontId="67" fillId="7" borderId="7" xfId="0" applyNumberFormat="1" applyFont="1" applyFill="1" applyBorder="1" applyAlignment="1">
      <alignment horizontal="center" vertical="center"/>
    </xf>
    <xf fontId="64" fillId="19" borderId="8" xfId="0">
      <alignment horizontal="center" vertical="center" wrapText="1"/>
    </xf>
    <xf fontId="61" fillId="19" borderId="8" xfId="0">
      <alignment horizontal="center" vertical="center"/>
    </xf>
    <xf numFmtId="0" fontId="61" fillId="19" borderId="8" xfId="0" applyNumberFormat="1" applyFont="1" applyFill="1" applyBorder="1" applyAlignment="1">
      <alignment horizontal="center" vertical="center"/>
    </xf>
    <xf numFmtId="306" fontId="23" fillId="8" borderId="8" xfId="0" applyFont="1" applyFill="1" applyBorder="1" applyAlignment="1">
      <alignment horizontal="center" vertical="center"/>
    </xf>
    <xf numFmtId="306" fontId="61" fillId="8" borderId="8" xfId="0" applyFont="1" applyFill="1" applyBorder="1" applyAlignment="1">
      <alignment horizontal="center" vertical="center"/>
    </xf>
    <xf numFmtId="306" fontId="68" fillId="11" borderId="7" xfId="0" applyFont="1" applyFill="1" applyBorder="1" applyAlignment="1">
      <alignment horizontal="center" vertical="center"/>
    </xf>
    <xf numFmtId="306" fontId="53" fillId="9" borderId="7" xfId="0" applyFont="1" applyFill="1" applyBorder="1" applyAlignment="1">
      <alignment horizontal="center" vertical="center"/>
    </xf>
    <xf numFmtId="0" fontId="53" fillId="9" borderId="7" xfId="0" applyNumberFormat="1" applyFont="1" applyFill="1" applyBorder="1" applyAlignment="1">
      <alignment horizontal="center" vertical="center"/>
    </xf>
    <xf numFmtId="302" fontId="53" fillId="9" borderId="7" xfId="0" applyNumberFormat="1" applyFont="1" applyFill="1" applyBorder="1" applyAlignment="1">
      <alignment horizontal="center" vertical="center"/>
    </xf>
    <xf numFmtId="302" fontId="53" fillId="11" borderId="7" xfId="0" applyNumberFormat="1" applyFont="1" applyFill="1" applyBorder="1" applyAlignment="1">
      <alignment horizontal="center" vertical="center"/>
    </xf>
    <xf numFmtId="306" fontId="53" fillId="11" borderId="7" xfId="0" applyFont="1" applyFill="1" applyBorder="1" applyAlignment="1">
      <alignment horizontal="center" vertical="center" wrapText="1"/>
    </xf>
    <xf numFmtId="302" fontId="53" fillId="6" borderId="7" xfId="0" applyNumberFormat="1" applyFont="1" applyFill="1" applyBorder="1" applyAlignment="1">
      <alignment horizontal="center" vertical="center"/>
    </xf>
    <xf numFmtId="302" fontId="53" fillId="7" borderId="7" xfId="0" applyNumberFormat="1" applyFont="1" applyFill="1" applyBorder="1" applyAlignment="1">
      <alignment horizontal="center" vertical="center"/>
    </xf>
    <xf numFmtId="306" fontId="53" fillId="7" borderId="7" xfId="0" applyFont="1" applyFill="1" applyBorder="1" applyAlignment="1">
      <alignment horizontal="center" vertical="center" wrapText="1"/>
    </xf>
    <xf numFmtId="0" fontId="61" fillId="6" borderId="7" xfId="0">
      <alignment horizontal="center" vertical="center"/>
    </xf>
    <xf numFmtId="302" fontId="61" fillId="7" borderId="8" xfId="0">
      <alignment horizontal="center" vertical="center"/>
    </xf>
    <xf numFmtId="306" fontId="61" fillId="6" borderId="7" xfId="0" applyFont="1" applyFill="1" applyBorder="1" applyAlignment="1">
      <alignment horizontal="center" vertical="center"/>
    </xf>
    <xf numFmtId="0" fontId="61" fillId="6" borderId="7" xfId="0" applyNumberFormat="1" applyFont="1" applyFill="1" applyBorder="1" applyAlignment="1">
      <alignment horizontal="center" vertical="center"/>
    </xf>
    <xf numFmtId="306" fontId="61" fillId="6" borderId="8" xfId="0" applyFont="1" applyFill="1" applyBorder="1" applyAlignment="1">
      <alignment horizontal="center" vertical="center" wrapText="1"/>
    </xf>
    <xf numFmtId="306" fontId="61" fillId="7" borderId="7" xfId="0" applyFont="1" applyFill="1" applyBorder="1" applyAlignment="1">
      <alignment horizontal="center" vertical="center"/>
    </xf>
    <xf numFmtId="306" fontId="62" fillId="7" borderId="7" xfId="0" applyFont="1" applyFill="1" applyBorder="1" applyAlignment="1">
      <alignment horizontal="center" vertical="center"/>
    </xf>
    <xf numFmtId="306" fontId="61" fillId="6" borderId="10" xfId="0" applyFont="1" applyFill="1" applyBorder="1" applyAlignment="1">
      <alignment horizontal="center" vertical="center"/>
    </xf>
    <xf numFmtId="0" fontId="53" fillId="9" borderId="7" xfId="0">
      <alignment horizontal="center" vertical="center"/>
    </xf>
    <xf numFmtId="302" fontId="53" fillId="11" borderId="7" xfId="0" applyNumberFormat="1" applyFont="1" applyFill="1" applyBorder="1" applyAlignment="1">
      <alignment horizontal="left" vertical="center" wrapText="1" indent="1"/>
    </xf>
    <xf numFmtId="306" fontId="53" fillId="11" borderId="7" xfId="0" applyFont="1" applyFill="1" applyBorder="1" applyAlignment="1">
      <alignment horizontal="center" vertical="center"/>
    </xf>
    <xf numFmtId="306" fontId="53" fillId="7" borderId="7" xfId="0" applyFont="1" applyFill="1" applyBorder="1" applyAlignment="1">
      <alignment horizontal="center" vertical="center"/>
    </xf>
    <xf numFmtId="0" fontId="61" fillId="7" borderId="7" xfId="0" applyNumberFormat="1" applyFont="1" applyFill="1" applyBorder="1" applyAlignment="1">
      <alignment horizontal="center" vertical="center"/>
    </xf>
    <xf numFmtId="0" fontId="61" fillId="7" borderId="7" xfId="0">
      <alignment horizontal="center" vertical="center"/>
    </xf>
    <xf fontId="69" fillId="23" borderId="7" xfId="0">
      <alignment horizontal="center" vertical="center"/>
    </xf>
    <xf fontId="69" fillId="4" borderId="0" xfId="0">
      <alignment horizontal="center" vertical="center"/>
    </xf>
    <xf fontId="70" fillId="23" borderId="7" xfId="0">
      <alignment horizontal="center" vertical="center"/>
    </xf>
    <xf fontId="70" fillId="4" borderId="0" xfId="0">
      <alignment horizontal="center" vertical="center"/>
    </xf>
    <xf fontId="0" fillId="0" borderId="22" xfId="0">
      <alignment horizontal="center" vertical="center" wrapText="1"/>
    </xf>
    <xf fontId="0" fillId="0" borderId="38" xfId="0">
      <alignment horizontal="center" vertical="center" wrapText="1"/>
    </xf>
    <xf fontId="0" fillId="0" borderId="16" xfId="0">
      <alignment horizontal="center" vertical="center"/>
    </xf>
    <xf numFmtId="68" fontId="0" fillId="0" borderId="16" xfId="0">
      <alignment horizontal="center" vertical="center"/>
    </xf>
    <xf fontId="0" fillId="0" borderId="32" xfId="0"/>
    <xf fontId="0" fillId="0" borderId="7" xfId="0">
      <alignment horizontal="center" vertical="center"/>
    </xf>
    <xf numFmtId="303" fontId="0" fillId="0" borderId="7" xfId="0">
      <alignment horizontal="center" vertical="center"/>
    </xf>
    <xf fontId="0" fillId="9" borderId="32" xfId="0">
      <alignment horizontal="center" vertical="center" wrapText="1"/>
    </xf>
    <xf fontId="0" fillId="9" borderId="7" xfId="0">
      <alignment horizontal="center" vertical="center"/>
    </xf>
    <xf numFmtId="68" fontId="0" fillId="9" borderId="7" xfId="0">
      <alignment horizontal="center" vertical="center"/>
    </xf>
    <xf fontId="0" fillId="9" borderId="0" xfId="0">
      <alignment horizontal="center" vertical="center"/>
    </xf>
    <xf numFmtId="303" fontId="0" fillId="9" borderId="7" xfId="0">
      <alignment horizontal="center" vertical="center"/>
    </xf>
    <xf fontId="0" fillId="17" borderId="32" xfId="0">
      <alignment horizontal="center" vertical="center" wrapText="1"/>
    </xf>
    <xf fontId="0" fillId="17" borderId="7" xfId="0">
      <alignment horizontal="center" vertical="center"/>
    </xf>
    <xf numFmtId="68" fontId="0" fillId="9" borderId="0" xfId="0">
      <alignment horizontal="center" vertical="center"/>
    </xf>
    <xf numFmtId="303" fontId="0" fillId="9" borderId="0" xfId="0">
      <alignment horizontal="center" vertical="center"/>
    </xf>
    <xf fontId="0" fillId="9" borderId="39" xfId="0">
      <alignment horizontal="center" vertical="center"/>
    </xf>
    <xf fontId="0" fillId="6" borderId="0" xfId="0">
      <alignment horizontal="center" vertical="center"/>
    </xf>
    <xf numFmtId="68" fontId="0" fillId="0" borderId="7" xfId="0">
      <alignment horizontal="center" vertical="center"/>
    </xf>
    <xf fontId="0" fillId="0" borderId="39" xfId="0">
      <alignment horizontal="center" vertical="center"/>
    </xf>
    <xf fontId="0" fillId="0" borderId="0" xfId="0">
      <alignment horizontal="center" vertical="center"/>
    </xf>
    <xf fontId="0" fillId="0" borderId="36" xfId="0">
      <alignment horizontal="center" vertical="center"/>
    </xf>
    <xf numFmtId="0" fontId="71" fillId="24" borderId="40" xfId="0"/>
    <xf numFmtId="0" fontId="71" fillId="17" borderId="40" xfId="0"/>
    <xf numFmtId="68" fontId="0" fillId="17" borderId="7" xfId="0">
      <alignment horizontal="center" vertical="center"/>
    </xf>
    <xf numFmtId="68" fontId="72" fillId="17" borderId="41" xfId="0">
      <alignment horizontal="center" vertical="center"/>
    </xf>
    <xf numFmtId="0" fontId="71" fillId="17" borderId="40" xfId="0"/>
    <xf fontId="0" fillId="17" borderId="0" xfId="0">
      <alignment horizontal="center" vertical="center"/>
    </xf>
    <xf numFmtId="303" fontId="0" fillId="17" borderId="7" xfId="0">
      <alignment horizontal="center" vertical="center"/>
    </xf>
    <xf numFmtId="303" fontId="0" fillId="17" borderId="19" xfId="0">
      <alignment horizontal="center" vertical="center"/>
    </xf>
    <xf numFmtId="303" fontId="72" fillId="17" borderId="42" xfId="0">
      <alignment horizontal="center" vertical="center"/>
    </xf>
    <xf numFmtId="303" fontId="72" fillId="17" borderId="41" xfId="0">
      <alignment horizontal="center" vertical="center"/>
    </xf>
    <xf fontId="0" fillId="17" borderId="19" xfId="0">
      <alignment horizontal="center" vertical="center"/>
    </xf>
    <xf numFmtId="0" fontId="71" fillId="17" borderId="41" xfId="0">
      <alignment horizontal="center"/>
    </xf>
    <xf fontId="0" fillId="0" borderId="9" xfId="0">
      <alignment horizontal="center" vertical="center" wrapText="1"/>
    </xf>
    <xf fontId="0" fillId="17" borderId="36" xfId="0">
      <alignment horizontal="center" vertical="center"/>
    </xf>
    <xf fontId="0" fillId="17" borderId="30" xfId="0">
      <alignment horizontal="center" vertical="center"/>
    </xf>
    <xf numFmtId="0" fontId="71" fillId="17" borderId="40" xfId="0">
      <alignment horizontal="center"/>
    </xf>
    <xf fontId="0" fillId="17" borderId="39" xfId="0">
      <alignment horizontal="center" vertical="center"/>
    </xf>
    <xf fontId="0" fillId="19" borderId="0" xfId="0">
      <alignment horizontal="center" vertical="center"/>
    </xf>
    <xf fontId="73" fillId="0" borderId="7" xfId="0">
      <alignment horizontal="center" vertical="center" wrapText="1"/>
    </xf>
    <xf fontId="74" fillId="17" borderId="7" xfId="0">
      <alignment horizontal="center" vertical="center" wrapText="1"/>
    </xf>
    <xf fontId="73" fillId="17" borderId="43" xfId="0">
      <alignment horizontal="center" vertical="center"/>
    </xf>
    <xf numFmtId="68" fontId="73" fillId="17" borderId="43" xfId="0">
      <alignment horizontal="center" vertical="center"/>
    </xf>
    <xf numFmtId="68" fontId="73" fillId="17" borderId="32" xfId="0">
      <alignment horizontal="center" vertical="center"/>
    </xf>
    <xf numFmtId="68" fontId="73" fillId="9" borderId="32" xfId="0">
      <alignment horizontal="center" vertical="center"/>
    </xf>
    <xf fontId="73" fillId="9" borderId="0" xfId="0">
      <alignment horizontal="center" vertical="center"/>
    </xf>
    <xf fontId="73" fillId="0" borderId="0" xfId="0">
      <alignment horizontal="center" vertical="center"/>
    </xf>
    <xf fontId="73" fillId="17" borderId="44" xfId="0">
      <alignment horizontal="center" vertical="center"/>
    </xf>
    <xf numFmtId="303" fontId="73" fillId="17" borderId="44" xfId="0">
      <alignment horizontal="center" vertical="center"/>
    </xf>
    <xf numFmtId="303" fontId="45" fillId="17" borderId="7" xfId="0">
      <alignment horizontal="center" vertical="center"/>
    </xf>
    <xf numFmtId="303" fontId="45" fillId="9" borderId="7" xfId="0">
      <alignment horizontal="center" vertical="center"/>
    </xf>
    <xf fontId="73" fillId="17" borderId="38" xfId="0">
      <alignment horizontal="center" vertical="center"/>
    </xf>
    <xf fontId="73" fillId="9" borderId="38" xfId="0">
      <alignment horizontal="center" vertical="center"/>
    </xf>
    <xf fontId="74" fillId="17" borderId="45" xfId="0">
      <alignment horizontal="center" vertical="center" wrapText="1"/>
    </xf>
    <xf numFmtId="68" fontId="73" fillId="17" borderId="44" xfId="0">
      <alignment horizontal="center" vertical="center"/>
    </xf>
    <xf numFmtId="68" fontId="73" fillId="17" borderId="38" xfId="0">
      <alignment horizontal="center" vertical="center"/>
    </xf>
    <xf numFmtId="68" fontId="73" fillId="9" borderId="38" xfId="0">
      <alignment horizontal="center" vertical="center"/>
    </xf>
    <xf fontId="0" fillId="0" borderId="45" xfId="0"/>
    <xf numFmtId="303" fontId="73" fillId="17" borderId="38" xfId="0">
      <alignment horizontal="center" vertical="center"/>
    </xf>
    <xf numFmtId="303" fontId="73" fillId="9" borderId="38" xfId="0">
      <alignment horizontal="center" vertical="center"/>
    </xf>
    <xf fontId="73" fillId="17" borderId="0" xfId="0">
      <alignment horizontal="center" vertical="center"/>
    </xf>
    <xf numFmtId="68" fontId="73" fillId="9" borderId="44" xfId="0">
      <alignment horizontal="center" vertical="center"/>
    </xf>
    <xf numFmtId="303" fontId="73" fillId="9" borderId="44" xfId="0">
      <alignment horizontal="center" vertical="center"/>
    </xf>
    <xf numFmtId="303" fontId="73" fillId="25" borderId="38" xfId="0">
      <alignment horizontal="center" vertical="center"/>
    </xf>
    <xf fontId="73" fillId="9" borderId="44" xfId="0">
      <alignment horizontal="center" vertical="center"/>
    </xf>
    <xf numFmtId="68" fontId="73" fillId="9" borderId="46" xfId="0">
      <alignment horizontal="center" vertical="center"/>
    </xf>
    <xf numFmtId="68" fontId="73" fillId="9" borderId="7" xfId="0">
      <alignment horizontal="center" vertical="center"/>
    </xf>
    <xf fontId="73" fillId="25" borderId="38" xfId="0">
      <alignment horizontal="center" vertical="center"/>
    </xf>
    <xf fontId="73" fillId="9" borderId="47" xfId="0">
      <alignment horizontal="center" vertical="center"/>
    </xf>
    <xf fontId="73" fillId="9" borderId="7" xfId="0">
      <alignment horizontal="center" vertical="center"/>
    </xf>
    <xf fontId="73" fillId="9" borderId="31" xfId="0">
      <alignment horizontal="center" vertical="center"/>
    </xf>
    <xf numFmtId="0" fontId="75" fillId="17" borderId="40" xfId="0"/>
    <xf fontId="73" fillId="0" borderId="48" xfId="0">
      <alignment horizontal="center" vertical="center" wrapText="1"/>
    </xf>
    <xf numFmtId="68" fontId="73" fillId="9" borderId="43" xfId="0">
      <alignment horizontal="center" vertical="center"/>
    </xf>
    <xf numFmtId="68" fontId="73" fillId="0" borderId="32" xfId="0">
      <alignment horizontal="center" vertical="center"/>
    </xf>
    <xf numFmtId="68" fontId="73" fillId="0" borderId="0" xfId="0">
      <alignment horizontal="center" vertical="center"/>
    </xf>
    <xf numFmtId="303" fontId="73" fillId="25" borderId="44" xfId="0">
      <alignment horizontal="center" vertical="center"/>
    </xf>
    <xf numFmtId="303" fontId="73" fillId="0" borderId="38" xfId="0">
      <alignment horizontal="center" vertical="center"/>
    </xf>
    <xf numFmtId="303" fontId="73" fillId="20" borderId="38" xfId="0">
      <alignment horizontal="center" vertical="center"/>
    </xf>
    <xf numFmtId="303" fontId="73" fillId="0" borderId="0" xfId="0">
      <alignment horizontal="center" vertical="center"/>
    </xf>
    <xf fontId="73" fillId="0" borderId="38" xfId="0">
      <alignment horizontal="center" vertical="center"/>
    </xf>
    <xf numFmtId="68" fontId="73" fillId="0" borderId="38" xfId="0">
      <alignment horizontal="center" vertical="center"/>
    </xf>
    <xf numFmtId="303" fontId="73" fillId="12" borderId="38" xfId="0">
      <alignment horizontal="center" vertical="center"/>
    </xf>
    <xf numFmtId="303" fontId="73" fillId="20" borderId="49" xfId="0">
      <alignment horizontal="center" vertical="center"/>
    </xf>
    <xf numFmtId="68" fontId="45" fillId="9" borderId="7" xfId="0">
      <alignment horizontal="center" vertical="center"/>
    </xf>
    <xf numFmtId="68" fontId="45" fillId="0" borderId="7" xfId="0">
      <alignment horizontal="center" vertical="center"/>
    </xf>
    <xf numFmtId="68" fontId="45" fillId="0" borderId="0" xfId="0">
      <alignment horizontal="center" vertical="center"/>
    </xf>
    <xf numFmtId="303" fontId="45" fillId="0" borderId="7" xfId="0">
      <alignment horizontal="center" vertical="center"/>
    </xf>
    <xf numFmtId="303" fontId="45" fillId="0" borderId="0" xfId="0">
      <alignment horizontal="center" vertical="center"/>
    </xf>
    <xf numFmtId="68" fontId="45" fillId="20" borderId="7" xfId="0">
      <alignment horizontal="center" vertical="center"/>
    </xf>
    <xf numFmtId="68" fontId="73" fillId="0" borderId="44" xfId="0">
      <alignment horizontal="center" vertical="center"/>
    </xf>
    <xf numFmtId="303" fontId="73" fillId="0" borderId="44" xfId="0">
      <alignment horizontal="center" vertical="center"/>
    </xf>
    <xf numFmtId="303" fontId="0" fillId="0" borderId="0" xfId="0">
      <alignment horizontal="center" vertical="center"/>
    </xf>
    <xf fontId="73" fillId="0" borderId="44" xfId="0">
      <alignment horizontal="center" vertical="center"/>
    </xf>
    <xf fontId="73" fillId="0" borderId="39" xfId="0">
      <alignment horizontal="center" vertical="center"/>
    </xf>
    <xf fontId="0" fillId="17" borderId="7" xfId="0">
      <alignment horizontal="center" vertical="center" wrapText="1"/>
    </xf>
    <xf fontId="0" fillId="0" borderId="50" xfId="0">
      <alignment horizontal="center" vertical="center"/>
    </xf>
    <xf fontId="0" fillId="0" borderId="30" xfId="0">
      <alignment horizontal="center" vertical="center"/>
    </xf>
    <xf fontId="0" fillId="0" borderId="51" xfId="0">
      <alignment horizontal="center" vertical="center"/>
    </xf>
    <xf numFmtId="68" fontId="0" fillId="0" borderId="0" xfId="0">
      <alignment horizontal="center" vertical="center"/>
    </xf>
    <xf fontId="0" fillId="0" borderId="7" xfId="0">
      <alignment horizontal="center" vertical="center" wrapText="1"/>
    </xf>
    <xf numFmtId="68" fontId="0" fillId="17" borderId="30" xfId="0">
      <alignment horizontal="center" vertical="center"/>
    </xf>
    <xf numFmtId="306" fontId="76" fillId="26" borderId="52" xfId="0" applyFont="1" applyFill="1" applyBorder="1" applyAlignment="1">
      <alignment horizontal="center" vertical="center"/>
    </xf>
    <xf numFmtId="306" fontId="76" fillId="26" borderId="53" xfId="0" applyFont="1" applyFill="1" applyBorder="1" applyAlignment="1">
      <alignment horizontal="center" vertical="center"/>
    </xf>
    <xf numFmtId="306" fontId="76" fillId="26" borderId="54" xfId="0" applyFont="1" applyFill="1" applyBorder="1" applyAlignment="1">
      <alignment horizontal="center" vertical="center"/>
    </xf>
    <xf numFmtId="306" fontId="77" fillId="26" borderId="52" xfId="0" applyFont="1" applyFill="1" applyBorder="1" applyAlignment="1">
      <alignment horizontal="center" vertical="center"/>
    </xf>
    <xf numFmtId="306" fontId="77" fillId="26" borderId="53" xfId="0" applyFont="1" applyFill="1" applyBorder="1" applyAlignment="1">
      <alignment horizontal="center" vertical="center"/>
    </xf>
    <xf numFmtId="306" fontId="77" fillId="26" borderId="54" xfId="0" applyFont="1" applyFill="1" applyBorder="1" applyAlignment="1">
      <alignment horizontal="center" vertical="center"/>
    </xf>
    <xf numFmtId="306" fontId="78" fillId="26" borderId="55" xfId="0" applyFont="1" applyFill="1" applyBorder="1" applyAlignment="1">
      <alignment horizontal="center" vertical="center" wrapText="1"/>
    </xf>
    <xf numFmtId="306" fontId="79" fillId="26" borderId="56" xfId="0" applyFont="1" applyFill="1" applyBorder="1" applyAlignment="1">
      <alignment horizontal="center" vertical="center" wrapText="1"/>
    </xf>
    <xf numFmtId="306" fontId="79" fillId="26" borderId="57" xfId="0" applyFont="1" applyFill="1" applyBorder="1" applyAlignment="1">
      <alignment horizontal="center" vertical="center" wrapText="1"/>
    </xf>
    <xf numFmtId="306" fontId="79" fillId="26" borderId="58" xfId="0" applyFont="1" applyFill="1" applyBorder="1" applyAlignment="1">
      <alignment horizontal="center" vertical="center" wrapText="1"/>
    </xf>
    <xf numFmtId="306" fontId="80" fillId="26" borderId="52" xfId="0" applyFont="1" applyFill="1" applyBorder="1" applyAlignment="1">
      <alignment horizontal="center" vertical="center"/>
    </xf>
    <xf numFmtId="306" fontId="80" fillId="26" borderId="53" xfId="0" applyFont="1" applyFill="1" applyBorder="1" applyAlignment="1">
      <alignment horizontal="center" vertical="center"/>
    </xf>
    <xf numFmtId="306" fontId="80" fillId="26" borderId="59" xfId="0" applyFont="1" applyFill="1" applyBorder="1" applyAlignment="1">
      <alignment horizontal="center" vertical="center"/>
    </xf>
    <xf numFmtId="9" fontId="80" fillId="26" borderId="59" xfId="0" applyNumberFormat="1" applyFont="1" applyFill="1" applyBorder="1" applyAlignment="1">
      <alignment horizontal="center" vertical="center"/>
    </xf>
    <xf numFmtId="302" fontId="80" fillId="26" borderId="53" xfId="0" applyNumberFormat="1" applyFont="1" applyFill="1" applyBorder="1" applyAlignment="1">
      <alignment horizontal="center" vertical="center"/>
    </xf>
    <xf numFmtId="306" fontId="80" fillId="26" borderId="54" xfId="0" applyFont="1" applyFill="1" applyBorder="1" applyAlignment="1">
      <alignment horizontal="center" vertical="center"/>
    </xf>
    <xf numFmtId="306" fontId="77" fillId="26" borderId="52" xfId="0" applyFont="1" applyFill="1" applyBorder="1" applyAlignment="1">
      <alignment vertical="center"/>
    </xf>
    <xf numFmtId="306" fontId="78" fillId="26" borderId="60" xfId="0" applyFont="1" applyFill="1" applyBorder="1" applyAlignment="1">
      <alignment horizontal="center" vertical="center" wrapText="1"/>
    </xf>
    <xf numFmtId="306" fontId="79" fillId="26" borderId="61" xfId="0" applyFont="1" applyFill="1" applyBorder="1" applyAlignment="1">
      <alignment horizontal="center" vertical="center" wrapText="1"/>
    </xf>
    <xf numFmtId="306" fontId="79" fillId="26" borderId="62" xfId="0" applyFont="1" applyFill="1" applyBorder="1" applyAlignment="1">
      <alignment horizontal="center" vertical="center" wrapText="1"/>
    </xf>
    <xf numFmtId="306" fontId="79" fillId="26" borderId="63" xfId="0" applyFont="1" applyFill="1" applyBorder="1" applyAlignment="1">
      <alignment horizontal="center" vertical="center" wrapText="1"/>
    </xf>
    <xf numFmtId="306" fontId="78" fillId="26" borderId="52" xfId="0" applyFont="1" applyFill="1" applyBorder="1" applyAlignment="1">
      <alignment horizontal="center" vertical="center" wrapText="1"/>
    </xf>
    <xf numFmtId="306" fontId="78" fillId="26" borderId="53" xfId="0" applyFont="1" applyFill="1" applyBorder="1" applyAlignment="1">
      <alignment horizontal="center" vertical="center" wrapText="1"/>
    </xf>
    <xf numFmtId="306" fontId="78" fillId="26" borderId="54" xfId="0" applyFont="1" applyFill="1" applyBorder="1" applyAlignment="1">
      <alignment horizontal="center" vertical="center" wrapText="1"/>
    </xf>
    <xf numFmtId="306" fontId="78" fillId="26" borderId="52" xfId="0" applyFont="1" applyFill="1" applyBorder="1" applyAlignment="1">
      <alignment horizontal="center" vertical="center"/>
    </xf>
    <xf numFmtId="306" fontId="78" fillId="26" borderId="53" xfId="0" applyFont="1" applyFill="1" applyBorder="1" applyAlignment="1">
      <alignment horizontal="center" vertical="center"/>
    </xf>
    <xf numFmtId="306" fontId="78" fillId="26" borderId="54" xfId="0" applyFont="1" applyFill="1" applyBorder="1" applyAlignment="1">
      <alignment horizontal="center" vertical="center"/>
    </xf>
    <xf numFmtId="306" fontId="81" fillId="26" borderId="59" xfId="0" applyFont="1" applyFill="1" applyBorder="1" applyAlignment="1">
      <alignment horizontal="center" vertical="center" wrapText="1"/>
    </xf>
    <xf numFmtId="306" fontId="78" fillId="26" borderId="59" xfId="0" applyFont="1" applyFill="1" applyBorder="1" applyAlignment="1">
      <alignment horizontal="center" vertical="center" wrapText="1"/>
    </xf>
    <xf numFmtId="304" fontId="81" fillId="26" borderId="59" xfId="0" applyNumberFormat="1" applyFont="1" applyFill="1" applyBorder="1" applyAlignment="1">
      <alignment horizontal="center" vertical="center" wrapText="1"/>
    </xf>
    <xf numFmtId="9" fontId="81" fillId="26" borderId="59" xfId="0" applyNumberFormat="1" applyFont="1" applyFill="1" applyBorder="1" applyAlignment="1">
      <alignment horizontal="center" vertical="center" wrapText="1"/>
    </xf>
    <xf numFmtId="303" fontId="81" fillId="26" borderId="59" xfId="0" applyNumberFormat="1" applyFont="1" applyFill="1" applyBorder="1" applyAlignment="1">
      <alignment horizontal="center" vertical="center" wrapText="1"/>
    </xf>
    <xf numFmtId="302" fontId="81" fillId="26" borderId="59" xfId="0" applyNumberFormat="1" applyFont="1" applyFill="1" applyBorder="1" applyAlignment="1">
      <alignment horizontal="center" vertical="center" wrapText="1"/>
    </xf>
    <xf numFmtId="306" fontId="81" fillId="26" borderId="52" xfId="0" applyFont="1" applyFill="1" applyBorder="1" applyAlignment="1">
      <alignment horizontal="center" vertical="center" wrapText="1"/>
    </xf>
    <xf numFmtId="306" fontId="81" fillId="26" borderId="53" xfId="0" applyFont="1" applyFill="1" applyBorder="1" applyAlignment="1">
      <alignment horizontal="center" vertical="center" wrapText="1"/>
    </xf>
    <xf numFmtId="306" fontId="81" fillId="26" borderId="54" xfId="0" applyFont="1" applyFill="1" applyBorder="1" applyAlignment="1">
      <alignment horizontal="center" vertical="center" wrapText="1"/>
    </xf>
    <xf numFmtId="306" fontId="82" fillId="26" borderId="59" xfId="0" applyFont="1" applyFill="1" applyBorder="1" applyAlignment="1">
      <alignment horizontal="center" vertical="center" wrapText="1"/>
    </xf>
    <xf numFmtId="304" fontId="82" fillId="26" borderId="59" xfId="0" applyNumberFormat="1" applyFont="1" applyFill="1" applyBorder="1" applyAlignment="1">
      <alignment horizontal="center" vertical="center" wrapText="1"/>
    </xf>
    <xf numFmtId="9" fontId="82" fillId="26" borderId="59" xfId="0" applyNumberFormat="1" applyFont="1" applyFill="1" applyBorder="1" applyAlignment="1">
      <alignment horizontal="center" vertical="center" wrapText="1"/>
    </xf>
    <xf numFmtId="1" fontId="83" fillId="0" borderId="59" xfId="0" applyNumberFormat="1" applyFont="1" applyBorder="1" applyAlignment="1">
      <alignment horizontal="center" vertical="center" wrapText="1"/>
    </xf>
    <xf numFmtId="306" fontId="84" fillId="0" borderId="59" xfId="0" applyFont="1" applyBorder="1" applyAlignment="1">
      <alignment horizontal="center" vertical="center" wrapText="1"/>
    </xf>
    <xf numFmtId="1" fontId="85" fillId="0" borderId="59" xfId="0" applyNumberFormat="1" applyFont="1" applyBorder="1" applyAlignment="1">
      <alignment horizontal="center" vertical="center" wrapText="1"/>
    </xf>
    <xf numFmtId="306" fontId="85" fillId="0" borderId="59" xfId="0" applyFont="1" applyBorder="1" applyAlignment="1">
      <alignment horizontal="center" vertical="center" wrapText="1"/>
    </xf>
    <xf numFmtId="1" fontId="86" fillId="27" borderId="59" xfId="0" applyNumberFormat="1" applyFont="1" applyFill="1" applyBorder="1" applyAlignment="1">
      <alignment horizontal="center" vertical="center"/>
    </xf>
    <xf numFmtId="306" fontId="85" fillId="28" borderId="59" xfId="0" applyFont="1" applyFill="1" applyBorder="1" applyAlignment="1">
      <alignment horizontal="center" vertical="center" wrapText="1"/>
    </xf>
    <xf numFmtId="2" fontId="85" fillId="0" borderId="59" xfId="0" applyNumberFormat="1" applyFont="1" applyBorder="1" applyAlignment="1">
      <alignment horizontal="center" vertical="center" wrapText="1"/>
    </xf>
    <xf numFmtId="304" fontId="85" fillId="0" borderId="59" xfId="0" applyNumberFormat="1" applyFont="1" applyBorder="1" applyAlignment="1">
      <alignment horizontal="center" vertical="center" wrapText="1"/>
    </xf>
    <xf numFmtId="9" fontId="85" fillId="0" borderId="59" xfId="0" applyNumberFormat="1" applyFont="1" applyBorder="1" applyAlignment="1">
      <alignment horizontal="center" vertical="center" wrapText="1"/>
    </xf>
    <xf numFmtId="303" fontId="85" fillId="0" borderId="59" xfId="0" applyNumberFormat="1" applyFont="1" applyBorder="1" applyAlignment="1">
      <alignment horizontal="center" vertical="center" wrapText="1"/>
    </xf>
    <xf numFmtId="303" fontId="85" fillId="28" borderId="52" xfId="0" applyNumberFormat="1" applyFont="1" applyFill="1" applyBorder="1" applyAlignment="1">
      <alignment horizontal="center" vertical="center" wrapText="1"/>
    </xf>
    <xf numFmtId="302" fontId="85" fillId="28" borderId="52" xfId="0" applyNumberFormat="1" applyFont="1" applyFill="1" applyBorder="1" applyAlignment="1">
      <alignment horizontal="center" vertical="center" wrapText="1"/>
    </xf>
    <xf numFmtId="306" fontId="85" fillId="0" borderId="52" xfId="0" applyFont="1" applyBorder="1" applyAlignment="1">
      <alignment horizontal="center" vertical="center" wrapText="1"/>
    </xf>
    <xf numFmtId="306" fontId="85" fillId="0" borderId="52" xfId="0" applyFont="1" applyBorder="1" applyAlignment="1">
      <alignment horizontal="left" vertical="center" wrapText="1"/>
    </xf>
    <xf numFmtId="1" fontId="85" fillId="28" borderId="59" xfId="0" applyNumberFormat="1" applyFont="1" applyFill="1" applyBorder="1" applyAlignment="1">
      <alignment horizontal="center" vertical="center" wrapText="1"/>
    </xf>
    <xf numFmtId="303" fontId="85" fillId="0" borderId="52" xfId="0" applyNumberFormat="1" applyFont="1" applyBorder="1" applyAlignment="1">
      <alignment horizontal="center" vertical="center" wrapText="1"/>
    </xf>
    <xf numFmtId="303" fontId="87" fillId="28" borderId="59" xfId="0" applyNumberFormat="1" applyFont="1" applyFill="1" applyBorder="1" applyAlignment="1">
      <alignment horizontal="center" vertical="center"/>
    </xf>
    <xf numFmtId="306" fontId="87" fillId="28" borderId="59" xfId="0" applyFont="1" applyFill="1" applyBorder="1" applyAlignment="1">
      <alignment horizontal="center" vertical="center"/>
    </xf>
    <xf numFmtId="306" fontId="83" fillId="28" borderId="59" xfId="0" applyFont="1" applyFill="1" applyBorder="1" applyAlignment="1">
      <alignment horizontal="center" vertical="center"/>
    </xf>
    <xf numFmtId="2" fontId="87" fillId="28" borderId="59" xfId="0" applyNumberFormat="1" applyFont="1" applyFill="1" applyBorder="1" applyAlignment="1">
      <alignment horizontal="center" vertical="center"/>
    </xf>
    <xf numFmtId="304" fontId="85" fillId="28" borderId="59" xfId="0" applyNumberFormat="1" applyFont="1" applyFill="1" applyBorder="1" applyAlignment="1">
      <alignment horizontal="center" vertical="center" wrapText="1"/>
    </xf>
    <xf numFmtId="303" fontId="85" fillId="28" borderId="59" xfId="0" applyNumberFormat="1" applyFont="1" applyFill="1" applyBorder="1" applyAlignment="1">
      <alignment horizontal="center" vertical="center" wrapText="1"/>
    </xf>
    <xf numFmtId="1" fontId="85" fillId="0" borderId="8" xfId="0" applyNumberFormat="1" applyFont="1" applyBorder="1" applyAlignment="1">
      <alignment horizontal="center" vertical="center" wrapText="1"/>
    </xf>
    <xf numFmtId="302" fontId="85" fillId="28" borderId="59" xfId="0" applyNumberFormat="1" applyFont="1" applyFill="1" applyBorder="1" applyAlignment="1">
      <alignment horizontal="center" vertical="center" wrapText="1"/>
    </xf>
    <xf numFmtId="2" fontId="85" fillId="0" borderId="8" xfId="0" applyNumberFormat="1" applyFont="1" applyBorder="1" applyAlignment="1">
      <alignment horizontal="center" vertical="center" wrapText="1"/>
    </xf>
    <xf numFmtId="306" fontId="83" fillId="28" borderId="59" xfId="0" applyFont="1" applyFill="1" applyBorder="1" applyAlignment="1">
      <alignment horizontal="center" vertical="center" wrapText="1"/>
    </xf>
    <xf numFmtId="9" fontId="85" fillId="28" borderId="59" xfId="0" applyNumberFormat="1" applyFont="1" applyFill="1" applyBorder="1" applyAlignment="1">
      <alignment horizontal="center" vertical="center" wrapText="1"/>
    </xf>
    <xf numFmtId="306" fontId="88" fillId="27" borderId="59" xfId="0" applyFont="1" applyFill="1" applyBorder="1" applyAlignment="1">
      <alignment horizontal="center" vertical="center" wrapText="1"/>
    </xf>
    <xf numFmtId="306" fontId="88" fillId="27" borderId="59" xfId="0" applyFont="1" applyFill="1" applyBorder="1" applyAlignment="1">
      <alignment horizontal="center" vertical="center"/>
    </xf>
    <xf numFmtId="2" fontId="85" fillId="28" borderId="59" xfId="0" applyNumberFormat="1" applyFont="1" applyFill="1" applyBorder="1" applyAlignment="1">
      <alignment horizontal="center" vertical="center" wrapText="1"/>
    </xf>
    <xf numFmtId="306" fontId="85" fillId="28" borderId="8" xfId="0" applyFont="1" applyFill="1" applyBorder="1" applyAlignment="1">
      <alignment horizontal="center" vertical="center" wrapText="1"/>
    </xf>
    <xf numFmtId="306" fontId="89" fillId="29" borderId="1" xfId="0" applyFont="1" applyFill="1" applyBorder="1" applyAlignment="1">
      <alignment horizontal="center" vertical="center" wrapText="1"/>
    </xf>
    <xf numFmtId="306" fontId="90" fillId="30" borderId="1" xfId="0" applyFont="1" applyFill="1" applyBorder="1" applyAlignment="1">
      <alignment horizontal="center" vertical="center" wrapText="1"/>
    </xf>
    <xf numFmtId="306" fontId="89" fillId="31" borderId="1" xfId="0" applyFont="1" applyFill="1" applyBorder="1" applyAlignment="1">
      <alignment horizontal="center" vertical="center" wrapText="1"/>
    </xf>
    <xf numFmtId="306" fontId="91" fillId="29" borderId="1" xfId="0" applyFont="1" applyFill="1" applyBorder="1" applyAlignment="1">
      <alignment horizontal="center" vertical="center" wrapText="1"/>
    </xf>
    <xf numFmtId="306" fontId="135" fillId="0" borderId="1" xfId="0" applyBorder="1"/>
    <xf numFmtId="306" fontId="91" fillId="31" borderId="1" xfId="0" applyFont="1" applyFill="1" applyBorder="1" applyAlignment="1">
      <alignment horizontal="center" vertical="center" wrapText="1"/>
    </xf>
    <xf numFmtId="306" fontId="92" fillId="29" borderId="1" xfId="0" applyFont="1" applyFill="1" applyBorder="1" applyAlignment="1">
      <alignment horizontal="center" vertical="center" wrapText="1"/>
    </xf>
    <xf numFmtId="306" fontId="92" fillId="31" borderId="1" xfId="0" applyFont="1" applyFill="1" applyBorder="1" applyAlignment="1">
      <alignment horizontal="center" vertical="center" wrapText="1"/>
    </xf>
    <xf numFmtId="306" fontId="93" fillId="29" borderId="1" xfId="0" applyFont="1" applyFill="1" applyBorder="1" applyAlignment="1">
      <alignment horizontal="center" vertical="center" wrapText="1"/>
    </xf>
    <xf numFmtId="306" fontId="93" fillId="29" borderId="1" xfId="0" applyFont="1" applyFill="1" applyBorder="1" applyAlignment="1">
      <alignment horizontal="center" vertical="center"/>
    </xf>
    <xf numFmtId="306" fontId="93" fillId="29" borderId="64" xfId="0" applyFont="1" applyFill="1" applyBorder="1" applyAlignment="1">
      <alignment horizontal="center" vertical="center"/>
    </xf>
    <xf numFmtId="306" fontId="135" fillId="0" borderId="65" xfId="0" applyBorder="1"/>
    <xf numFmtId="306" fontId="93" fillId="29" borderId="65" xfId="0" applyFont="1" applyFill="1" applyBorder="1" applyAlignment="1">
      <alignment horizontal="center" vertical="center"/>
    </xf>
    <xf numFmtId="306" fontId="93" fillId="31" borderId="65" xfId="0" applyFont="1" applyFill="1" applyBorder="1" applyAlignment="1">
      <alignment horizontal="center" vertical="center"/>
    </xf>
    <xf numFmtId="306" fontId="135" fillId="0" borderId="66" xfId="0" applyBorder="1"/>
    <xf numFmtId="300" fontId="94" fillId="29" borderId="67" xfId="0" applyNumberFormat="1" applyFont="1" applyFill="1" applyBorder="1" applyAlignment="1">
      <alignment horizontal="left" vertical="center" wrapText="1" indent="2"/>
    </xf>
    <xf numFmtId="306" fontId="135" fillId="0" borderId="67" xfId="0" applyBorder="1"/>
    <xf numFmtId="306" fontId="94" fillId="29" borderId="67" xfId="0" applyFont="1" applyFill="1" applyBorder="1" applyAlignment="1">
      <alignment horizontal="left" vertical="center" wrapText="1" indent="2"/>
    </xf>
    <xf numFmtId="306" fontId="95" fillId="29" borderId="67" xfId="0" applyFont="1" applyFill="1" applyBorder="1" applyAlignment="1">
      <alignment horizontal="left" vertical="center" wrapText="1" indent="2"/>
    </xf>
    <xf numFmtId="306" fontId="95" fillId="31" borderId="67" xfId="0" applyFont="1" applyFill="1" applyBorder="1" applyAlignment="1">
      <alignment horizontal="left" vertical="center" wrapText="1" indent="2"/>
    </xf>
    <xf numFmtId="306" fontId="92" fillId="29" borderId="8" xfId="0" applyFont="1" applyFill="1" applyBorder="1" applyAlignment="1">
      <alignment horizontal="center" vertical="center" wrapText="1"/>
    </xf>
    <xf numFmtId="306" fontId="96" fillId="30" borderId="8" xfId="0" applyFont="1" applyFill="1" applyBorder="1" applyAlignment="1">
      <alignment horizontal="center" vertical="center" wrapText="1"/>
    </xf>
    <xf numFmtId="306" fontId="92" fillId="29" borderId="8" xfId="0" applyFont="1" applyFill="1" applyBorder="1" applyAlignment="1">
      <alignment horizontal="center" vertical="center"/>
    </xf>
    <xf numFmtId="306" fontId="96" fillId="30" borderId="8" xfId="0" applyFont="1" applyFill="1" applyBorder="1" applyAlignment="1">
      <alignment horizontal="center" vertical="center"/>
    </xf>
    <xf numFmtId="306" fontId="92" fillId="29" borderId="68" xfId="0" applyFont="1" applyFill="1" applyBorder="1" applyAlignment="1">
      <alignment horizontal="center" vertical="center"/>
    </xf>
    <xf numFmtId="306" fontId="93" fillId="29" borderId="8" xfId="0" applyFont="1" applyFill="1" applyBorder="1" applyAlignment="1">
      <alignment horizontal="center" vertical="center" wrapText="1"/>
    </xf>
    <xf numFmtId="306" fontId="97" fillId="29" borderId="8" xfId="0" applyFont="1" applyFill="1" applyBorder="1" applyAlignment="1">
      <alignment horizontal="center" vertical="center" wrapText="1"/>
    </xf>
    <xf numFmtId="306" fontId="98" fillId="30" borderId="8" xfId="0" applyFont="1" applyFill="1" applyBorder="1" applyAlignment="1">
      <alignment horizontal="center" vertical="center" wrapText="1"/>
    </xf>
    <xf numFmtId="306" fontId="135" fillId="0" borderId="8" xfId="0" applyBorder="1"/>
    <xf numFmtId="306" fontId="135" fillId="0" borderId="69" xfId="0" applyBorder="1"/>
    <xf numFmtId="306" fontId="135" fillId="0" borderId="70" xfId="0" applyBorder="1"/>
    <xf numFmtId="306" fontId="99" fillId="27" borderId="8" xfId="0" applyFont="1" applyFill="1" applyBorder="1" applyAlignment="1">
      <alignment horizontal="center" vertical="center"/>
    </xf>
    <xf numFmtId="306" fontId="88" fillId="27" borderId="8" xfId="0" applyFont="1" applyFill="1" applyBorder="1" applyAlignment="1">
      <alignment horizontal="center" vertical="center"/>
    </xf>
    <xf numFmtId="306" fontId="100" fillId="7" borderId="8" xfId="0" applyFont="1" applyFill="1" applyBorder="1" applyAlignment="1">
      <alignment horizontal="center" vertical="center"/>
    </xf>
    <xf numFmtId="1" fontId="88" fillId="27" borderId="8" xfId="0" applyNumberFormat="1" applyFont="1" applyFill="1" applyBorder="1" applyAlignment="1">
      <alignment horizontal="center" vertical="center"/>
    </xf>
    <xf numFmtId="306" fontId="88" fillId="27" borderId="8" xfId="0" applyFont="1" applyFill="1" applyBorder="1" applyAlignment="1">
      <alignment horizontal="center" vertical="center" wrapText="1"/>
    </xf>
    <xf numFmtId="306" fontId="101" fillId="27" borderId="8" xfId="0" applyFont="1" applyFill="1" applyBorder="1" applyAlignment="1">
      <alignment horizontal="center" vertical="center" wrapText="1"/>
    </xf>
    <xf numFmtId="2" fontId="88" fillId="27" borderId="8" xfId="0" applyNumberFormat="1" applyFont="1" applyFill="1" applyBorder="1" applyAlignment="1">
      <alignment horizontal="center" vertical="center" wrapText="1"/>
    </xf>
    <xf numFmtId="306" fontId="102" fillId="27" borderId="8" xfId="0" applyFont="1" applyFill="1" applyBorder="1" applyAlignment="1">
      <alignment horizontal="center" vertical="center" wrapText="1"/>
    </xf>
    <xf numFmtId="306" fontId="103" fillId="27" borderId="8" xfId="0" applyFont="1" applyFill="1" applyBorder="1" applyAlignment="1">
      <alignment horizontal="left" vertical="center" indent="2"/>
    </xf>
    <xf numFmtId="306" fontId="104" fillId="7" borderId="8" xfId="0" applyFont="1" applyFill="1" applyBorder="1" applyAlignment="1">
      <alignment horizontal="center" vertical="center"/>
    </xf>
    <xf numFmtId="306" fontId="88" fillId="27" borderId="68" xfId="0" applyFont="1" applyFill="1" applyBorder="1" applyAlignment="1">
      <alignment horizontal="center" vertical="center" wrapText="1"/>
    </xf>
    <xf numFmtId="306" fontId="105" fillId="27" borderId="8" xfId="0" applyFont="1" applyFill="1" applyBorder="1" applyAlignment="1">
      <alignment horizontal="left" vertical="center" wrapText="1" indent="2"/>
    </xf>
    <xf numFmtId="306" fontId="106" fillId="27" borderId="8" xfId="0" applyFont="1" applyFill="1" applyBorder="1" applyAlignment="1">
      <alignment horizontal="center" vertical="center"/>
    </xf>
    <xf numFmtId="306" fontId="88" fillId="32" borderId="8" xfId="0" applyFont="1" applyFill="1" applyBorder="1" applyAlignment="1">
      <alignment horizontal="center" vertical="center"/>
    </xf>
    <xf numFmtId="306" fontId="88" fillId="32" borderId="8" xfId="0" applyFont="1" applyFill="1" applyBorder="1" applyAlignment="1">
      <alignment horizontal="center" vertical="center" wrapText="1"/>
    </xf>
    <xf numFmtId="306" fontId="88" fillId="27" borderId="69" xfId="0" applyFont="1" applyFill="1" applyBorder="1" applyAlignment="1">
      <alignment horizontal="center" vertical="center" wrapText="1"/>
    </xf>
    <xf numFmtId="306" fontId="107" fillId="7" borderId="8" xfId="0" applyFont="1" applyFill="1" applyBorder="1" applyAlignment="1">
      <alignment horizontal="center" vertical="center"/>
    </xf>
    <xf numFmtId="306" fontId="100" fillId="7" borderId="8" xfId="0" applyFont="1" applyFill="1" applyBorder="1" applyAlignment="1">
      <alignment horizontal="center" vertical="center" wrapText="1"/>
    </xf>
    <xf numFmtId="306" fontId="88" fillId="27" borderId="70" xfId="0" applyFont="1" applyFill="1" applyBorder="1" applyAlignment="1">
      <alignment horizontal="center" vertical="center" wrapText="1"/>
    </xf>
    <xf numFmtId="306" fontId="108" fillId="27" borderId="8" xfId="0" applyFont="1" applyFill="1" applyBorder="1" applyAlignment="1">
      <alignment horizontal="center" vertical="center"/>
    </xf>
    <xf numFmtId="306" fontId="102" fillId="27" borderId="8" xfId="0" applyFont="1" applyFill="1" applyBorder="1" applyAlignment="1">
      <alignment horizontal="center" vertical="center"/>
    </xf>
    <xf numFmtId="306" fontId="109" fillId="7" borderId="8" xfId="0" applyFont="1" applyFill="1" applyBorder="1" applyAlignment="1">
      <alignment horizontal="center" vertical="center"/>
    </xf>
    <xf numFmtId="306" fontId="99" fillId="27" borderId="68" xfId="0" applyFont="1" applyFill="1" applyBorder="1" applyAlignment="1">
      <alignment horizontal="center" vertical="center"/>
    </xf>
    <xf numFmtId="306" fontId="88" fillId="27" borderId="71" xfId="0" applyFont="1" applyFill="1" applyBorder="1" applyAlignment="1">
      <alignment horizontal="center" vertical="center"/>
    </xf>
    <xf numFmtId="306" fontId="135" fillId="0" borderId="72" xfId="0" applyBorder="1"/>
    <xf numFmtId="306" fontId="88" fillId="27" borderId="68" xfId="0" applyFont="1" applyFill="1" applyBorder="1" applyAlignment="1">
      <alignment horizontal="center" vertical="center"/>
    </xf>
    <xf numFmtId="306" fontId="102" fillId="27" borderId="68" xfId="0" applyFont="1" applyFill="1" applyBorder="1" applyAlignment="1">
      <alignment horizontal="center" vertical="center"/>
    </xf>
    <xf numFmtId="306" fontId="103" fillId="27" borderId="68" xfId="0" applyFont="1" applyFill="1" applyBorder="1" applyAlignment="1">
      <alignment horizontal="left" vertical="center" wrapText="1" indent="2"/>
    </xf>
    <xf numFmtId="306" fontId="135" fillId="0" borderId="73" xfId="0" applyBorder="1"/>
    <xf numFmtId="306" fontId="135" fillId="0" borderId="74" xfId="0" applyBorder="1"/>
    <xf numFmtId="306" fontId="135" fillId="0" borderId="75" xfId="0" applyBorder="1"/>
    <xf numFmtId="306" fontId="135" fillId="0" borderId="76" xfId="0" applyBorder="1"/>
    <xf numFmtId="306" fontId="101" fillId="27" borderId="8" xfId="0" applyFont="1" applyFill="1" applyBorder="1" applyAlignment="1">
      <alignment horizontal="center" vertical="center"/>
    </xf>
    <xf numFmtId="306" fontId="108" fillId="27" borderId="8" xfId="0" applyFont="1" applyFill="1" applyBorder="1" applyAlignment="1">
      <alignment horizontal="center" vertical="center" wrapText="1"/>
    </xf>
    <xf numFmtId="306" fontId="88" fillId="27" borderId="70" xfId="0" applyFont="1" applyFill="1" applyBorder="1" applyAlignment="1">
      <alignment horizontal="center" vertical="center"/>
    </xf>
    <xf numFmtId="306" fontId="88" fillId="27" borderId="77" xfId="0" applyFont="1" applyFill="1" applyBorder="1" applyAlignment="1">
      <alignment horizontal="center" vertical="center"/>
    </xf>
    <xf numFmtId="306" fontId="135" fillId="0" borderId="78" xfId="0" applyBorder="1"/>
    <xf numFmtId="306" fontId="135" fillId="0" borderId="79" xfId="0" applyBorder="1"/>
    <xf numFmtId="306" fontId="103" fillId="27" borderId="8" xfId="0" applyFont="1" applyFill="1" applyBorder="1" applyAlignment="1">
      <alignment horizontal="left" vertical="center" wrapText="1" indent="2"/>
    </xf>
    <xf numFmtId="2" fontId="88" fillId="27" borderId="8" xfId="0" applyNumberFormat="1" applyFont="1" applyFill="1" applyBorder="1" applyAlignment="1">
      <alignment horizontal="center" vertical="center"/>
    </xf>
    <xf numFmtId="306" fontId="108" fillId="27" borderId="68" xfId="0" applyFont="1" applyFill="1" applyBorder="1" applyAlignment="1">
      <alignment horizontal="center" vertical="center"/>
    </xf>
    <xf numFmtId="306" fontId="110" fillId="27" borderId="68" xfId="0" applyFont="1" applyFill="1" applyBorder="1" applyAlignment="1">
      <alignment horizontal="left" vertical="center" wrapText="1" indent="2"/>
    </xf>
    <xf numFmtId="306" fontId="111" fillId="27" borderId="8" xfId="0" applyFont="1" applyFill="1" applyBorder="1" applyAlignment="1">
      <alignment horizontal="left" vertical="center" wrapText="1" indent="2"/>
    </xf>
    <xf numFmtId="306" fontId="112" fillId="0" borderId="8" xfId="0" applyFont="1" applyBorder="1"/>
    <xf numFmtId="306" fontId="113" fillId="7" borderId="8" xfId="0" applyFont="1" applyFill="1" applyBorder="1" applyAlignment="1">
      <alignment horizontal="center" vertical="center"/>
    </xf>
    <xf numFmtId="306" fontId="88" fillId="32" borderId="71" xfId="0" applyFont="1" applyFill="1" applyBorder="1" applyAlignment="1">
      <alignment horizontal="center" vertical="center"/>
    </xf>
    <xf numFmtId="306" fontId="88" fillId="32" borderId="68" xfId="0" applyFont="1" applyFill="1" applyBorder="1" applyAlignment="1">
      <alignment horizontal="center" vertical="center" wrapText="1"/>
    </xf>
    <xf numFmtId="306" fontId="88" fillId="32" borderId="69" xfId="0" applyFont="1" applyFill="1" applyBorder="1" applyAlignment="1">
      <alignment horizontal="center" vertical="center" wrapText="1"/>
    </xf>
    <xf numFmtId="306" fontId="88" fillId="32" borderId="70" xfId="0" applyFont="1" applyFill="1" applyBorder="1" applyAlignment="1">
      <alignment horizontal="center" vertical="center" wrapText="1"/>
    </xf>
    <xf numFmtId="306" fontId="114" fillId="27" borderId="68" xfId="0" applyFont="1" applyFill="1" applyBorder="1" applyAlignment="1">
      <alignment horizontal="left" vertical="center" wrapText="1" indent="2"/>
    </xf>
    <xf numFmtId="306" fontId="99" fillId="33" borderId="69" xfId="0" applyFont="1" applyFill="1" applyBorder="1" applyAlignment="1">
      <alignment horizontal="center" vertical="center"/>
    </xf>
    <xf numFmtId="306" fontId="88" fillId="33" borderId="73" xfId="0" applyFont="1" applyFill="1" applyBorder="1" applyAlignment="1">
      <alignment horizontal="center" vertical="center"/>
    </xf>
    <xf numFmtId="306" fontId="88" fillId="33" borderId="74" xfId="0" applyFont="1" applyFill="1" applyBorder="1" applyAlignment="1">
      <alignment horizontal="center" vertical="center"/>
    </xf>
    <xf numFmtId="306" fontId="88" fillId="33" borderId="69" xfId="0" applyFont="1" applyFill="1" applyBorder="1" applyAlignment="1">
      <alignment horizontal="center" vertical="center"/>
    </xf>
    <xf numFmtId="306" fontId="88" fillId="27" borderId="69" xfId="0" applyFont="1" applyFill="1" applyBorder="1" applyAlignment="1">
      <alignment horizontal="center" vertical="center"/>
    </xf>
    <xf numFmtId="306" fontId="88" fillId="33" borderId="69" xfId="0" applyFont="1" applyFill="1" applyBorder="1" applyAlignment="1">
      <alignment horizontal="center" vertical="center" wrapText="1"/>
    </xf>
    <xf numFmtId="306" fontId="114" fillId="27" borderId="69" xfId="0" applyFont="1" applyFill="1" applyBorder="1" applyAlignment="1">
      <alignment horizontal="left" vertical="center" wrapText="1" indent="2"/>
    </xf>
    <xf numFmtId="2" fontId="108" fillId="27" borderId="8" xfId="0" applyNumberFormat="1" applyFont="1" applyFill="1" applyBorder="1" applyAlignment="1">
      <alignment horizontal="center" vertical="center"/>
    </xf>
    <xf numFmtId="306" fontId="115" fillId="27" borderId="8" xfId="0" applyFont="1" applyFill="1" applyBorder="1" applyAlignment="1">
      <alignment horizontal="center" vertical="center"/>
    </xf>
    <xf numFmtId="306" fontId="88" fillId="32" borderId="71" xfId="0" applyFont="1" applyFill="1" applyBorder="1" applyAlignment="1">
      <alignment horizontal="center" vertical="center" wrapText="1"/>
    </xf>
    <xf numFmtId="9" fontId="88" fillId="32" borderId="68" xfId="0" applyNumberFormat="1" applyFont="1" applyFill="1" applyBorder="1" applyAlignment="1">
      <alignment horizontal="center" vertical="center" wrapText="1"/>
    </xf>
    <xf numFmtId="306" fontId="88" fillId="27" borderId="8" xfId="0" applyFont="1" applyFill="1" applyBorder="1"/>
    <xf numFmtId="306" fontId="116" fillId="30" borderId="8" xfId="0" applyFont="1" applyFill="1" applyBorder="1" applyAlignment="1">
      <alignment horizontal="center" vertical="center" wrapText="1"/>
    </xf>
    <xf numFmtId="306" fontId="91" fillId="30" borderId="8" xfId="0" applyFont="1" applyFill="1" applyBorder="1" applyAlignment="1">
      <alignment horizontal="center" vertical="center" wrapText="1"/>
    </xf>
    <xf numFmtId="306" fontId="117" fillId="30" borderId="8" xfId="0" applyFont="1" applyFill="1" applyBorder="1" applyAlignment="1">
      <alignment horizontal="center" vertical="center" wrapText="1"/>
    </xf>
    <xf numFmtId="306" fontId="88" fillId="30" borderId="8" xfId="0" applyFont="1" applyFill="1" applyBorder="1" applyAlignment="1">
      <alignment horizontal="center" vertical="center" wrapText="1"/>
    </xf>
    <xf numFmtId="306" fontId="117" fillId="30" borderId="8" xfId="0" applyFont="1" applyFill="1" applyBorder="1" applyAlignment="1">
      <alignment horizontal="center" vertical="center"/>
    </xf>
    <xf numFmtId="9" fontId="88" fillId="30" borderId="8" xfId="0" applyNumberFormat="1" applyFont="1" applyFill="1" applyBorder="1" applyAlignment="1">
      <alignment horizontal="center" vertical="center" wrapText="1"/>
    </xf>
    <xf numFmtId="9" fontId="88" fillId="34" borderId="8" xfId="0" applyNumberFormat="1" applyFont="1" applyFill="1" applyBorder="1" applyAlignment="1">
      <alignment horizontal="center" vertical="center" wrapText="1"/>
    </xf>
    <xf numFmtId="306" fontId="117" fillId="34" borderId="8" xfId="0" applyFont="1" applyFill="1" applyBorder="1" applyAlignment="1">
      <alignment horizontal="center" vertical="center"/>
    </xf>
    <xf numFmtId="306" fontId="100" fillId="30" borderId="8" xfId="0" applyFont="1" applyFill="1" applyBorder="1" applyAlignment="1">
      <alignment horizontal="center" vertical="center" wrapText="1"/>
    </xf>
    <xf numFmtId="9" fontId="100" fillId="30" borderId="8" xfId="0" applyNumberFormat="1" applyFont="1" applyFill="1" applyBorder="1" applyAlignment="1">
      <alignment horizontal="center" vertical="center" wrapText="1"/>
    </xf>
    <xf numFmtId="306" fontId="99" fillId="7" borderId="68" xfId="0" applyFont="1" applyFill="1" applyBorder="1" applyAlignment="1">
      <alignment horizontal="center" vertical="center"/>
    </xf>
    <xf numFmtId="306" fontId="112" fillId="0" borderId="72" xfId="0" applyFont="1" applyBorder="1"/>
    <xf numFmtId="305" fontId="88" fillId="27" borderId="8" xfId="0" applyNumberFormat="1" applyFont="1" applyFill="1" applyBorder="1" applyAlignment="1">
      <alignment horizontal="center" vertical="center" wrapText="1"/>
    </xf>
    <xf numFmtId="9" fontId="88" fillId="27" borderId="8" xfId="0" applyNumberFormat="1" applyFont="1" applyFill="1" applyBorder="1" applyAlignment="1">
      <alignment horizontal="center" vertical="center" wrapText="1"/>
    </xf>
    <xf numFmtId="305" fontId="88" fillId="27" borderId="77" xfId="0" applyNumberFormat="1" applyFont="1" applyFill="1" applyBorder="1" applyAlignment="1">
      <alignment horizontal="center" vertical="center"/>
    </xf>
    <xf numFmtId="306" fontId="88" fillId="0" borderId="8" xfId="0" applyFont="1" applyBorder="1" applyAlignment="1">
      <alignment horizontal="center" vertical="center"/>
    </xf>
    <xf numFmtId="306" fontId="118" fillId="0" borderId="82" xfId="0" applyFont="1" applyAlignment="1">
      <alignment horizontal="center" vertical="center"/>
    </xf>
    <xf numFmtId="306" fontId="112" fillId="0" borderId="69" xfId="0" applyFont="1" applyBorder="1"/>
    <xf numFmtId="306" fontId="112" fillId="0" borderId="73" xfId="0" applyFont="1" applyBorder="1"/>
    <xf numFmtId="306" fontId="112" fillId="0" borderId="74" xfId="0" applyFont="1" applyBorder="1"/>
    <xf numFmtId="305" fontId="88" fillId="27" borderId="8" xfId="0" applyNumberFormat="1" applyFont="1" applyFill="1" applyBorder="1" applyAlignment="1">
      <alignment horizontal="center" vertical="center"/>
    </xf>
    <xf numFmtId="9" fontId="88" fillId="27" borderId="8" xfId="0" applyNumberFormat="1" applyFont="1" applyFill="1" applyBorder="1" applyAlignment="1">
      <alignment horizontal="center" vertical="center"/>
    </xf>
    <xf numFmtId="306" fontId="118" fillId="0" borderId="82" xfId="0" applyFont="1"/>
    <xf numFmtId="306" fontId="101" fillId="0" borderId="82" xfId="0" applyFont="1" applyAlignment="1">
      <alignment horizontal="center" vertical="center"/>
    </xf>
    <xf numFmtId="305" fontId="88" fillId="27" borderId="77" xfId="0" applyNumberFormat="1" applyFont="1" applyFill="1" applyBorder="1" applyAlignment="1">
      <alignment horizontal="center" vertical="center" wrapText="1"/>
    </xf>
    <xf numFmtId="306" fontId="88" fillId="33" borderId="71" xfId="0" applyFont="1" applyFill="1" applyBorder="1" applyAlignment="1">
      <alignment horizontal="center" vertical="center"/>
    </xf>
    <xf numFmtId="306" fontId="88" fillId="33" borderId="8" xfId="0" applyFont="1" applyFill="1" applyBorder="1" applyAlignment="1">
      <alignment horizontal="center" vertical="center"/>
    </xf>
    <xf numFmtId="306" fontId="88" fillId="33" borderId="8" xfId="0" applyFont="1" applyFill="1" applyBorder="1" applyAlignment="1">
      <alignment horizontal="center" vertical="center" wrapText="1"/>
    </xf>
    <xf numFmtId="305" fontId="88" fillId="33" borderId="8" xfId="0" applyNumberFormat="1" applyFont="1" applyFill="1" applyBorder="1" applyAlignment="1">
      <alignment horizontal="center" vertical="center" wrapText="1"/>
    </xf>
    <xf numFmtId="9" fontId="88" fillId="33" borderId="8" xfId="0" applyNumberFormat="1" applyFont="1" applyFill="1" applyBorder="1" applyAlignment="1">
      <alignment horizontal="center" vertical="center" wrapText="1"/>
    </xf>
    <xf numFmtId="305" fontId="88" fillId="33" borderId="77" xfId="0" applyNumberFormat="1" applyFont="1" applyFill="1" applyBorder="1" applyAlignment="1">
      <alignment horizontal="center" vertical="center"/>
    </xf>
    <xf numFmtId="306" fontId="88" fillId="0" borderId="8" xfId="0" applyFont="1" applyBorder="1" applyAlignment="1">
      <alignment horizontal="center" vertical="center" wrapText="1"/>
    </xf>
    <xf numFmtId="306" fontId="88" fillId="0" borderId="8" xfId="0" applyFont="1" applyBorder="1"/>
    <xf numFmtId="306" fontId="99" fillId="7" borderId="8" xfId="0" applyFont="1" applyFill="1" applyBorder="1" applyAlignment="1">
      <alignment horizontal="center" vertical="center"/>
    </xf>
    <xf numFmtId="305" fontId="88" fillId="33" borderId="8" xfId="0" applyNumberFormat="1" applyFont="1" applyFill="1" applyBorder="1" applyAlignment="1">
      <alignment horizontal="center" vertical="center"/>
    </xf>
    <xf numFmtId="9" fontId="88" fillId="33" borderId="8" xfId="0" applyNumberFormat="1" applyFont="1" applyFill="1" applyBorder="1" applyAlignment="1">
      <alignment horizontal="center" vertical="center"/>
    </xf>
    <xf numFmtId="306" fontId="88" fillId="33" borderId="77" xfId="0" applyFont="1" applyFill="1" applyBorder="1" applyAlignment="1">
      <alignment horizontal="center" vertical="center"/>
    </xf>
    <xf numFmtId="306" fontId="99" fillId="7" borderId="69" xfId="0" applyFont="1" applyFill="1" applyBorder="1"/>
    <xf numFmtId="306" fontId="99" fillId="0" borderId="68" xfId="0" applyFont="1" applyBorder="1" applyAlignment="1">
      <alignment horizontal="center" vertical="center"/>
    </xf>
    <xf numFmtId="306" fontId="88" fillId="0" borderId="71" xfId="0" applyFont="1" applyBorder="1" applyAlignment="1">
      <alignment horizontal="center" vertical="center"/>
    </xf>
    <xf numFmtId="306" fontId="135" fillId="0" borderId="80" xfId="0" applyBorder="1"/>
    <xf numFmtId="305" fontId="88" fillId="0" borderId="8" xfId="0" applyNumberFormat="1" applyFont="1" applyBorder="1" applyAlignment="1">
      <alignment horizontal="center" vertical="center"/>
    </xf>
    <xf numFmtId="9" fontId="88" fillId="0" borderId="8" xfId="0" applyNumberFormat="1" applyFont="1" applyBorder="1" applyAlignment="1">
      <alignment horizontal="center" vertical="center" wrapText="1"/>
    </xf>
    <xf numFmtId="305" fontId="88" fillId="0" borderId="77" xfId="0" applyNumberFormat="1" applyFont="1" applyBorder="1" applyAlignment="1">
      <alignment horizontal="center" vertical="center"/>
    </xf>
    <xf numFmtId="306" fontId="135" fillId="0" borderId="81" xfId="0" applyBorder="1"/>
    <xf numFmtId="9" fontId="88" fillId="0" borderId="8" xfId="0" applyNumberFormat="1" applyFont="1" applyBorder="1" applyAlignment="1">
      <alignment horizontal="center" vertical="center"/>
    </xf>
    <xf numFmtId="306" fontId="99" fillId="0" borderId="69" xfId="0" applyFont="1" applyBorder="1" applyAlignment="1">
      <alignment horizontal="center" vertical="center"/>
    </xf>
    <xf numFmtId="305" fontId="88" fillId="0" borderId="8" xfId="0" applyNumberFormat="1" applyFont="1" applyBorder="1" applyAlignment="1">
      <alignment horizontal="center" vertical="center" wrapText="1"/>
    </xf>
    <xf numFmtId="306" fontId="107" fillId="0" borderId="69" xfId="0" applyFont="1" applyBorder="1" applyAlignment="1">
      <alignment horizontal="center" vertical="center"/>
    </xf>
    <xf numFmtId="306" fontId="88" fillId="0" borderId="68" xfId="0" applyFont="1" applyBorder="1" applyAlignment="1">
      <alignment horizontal="center" vertical="center"/>
    </xf>
    <xf numFmtId="306" fontId="88" fillId="32" borderId="68" xfId="0" applyFont="1" applyFill="1" applyBorder="1" applyAlignment="1">
      <alignment horizontal="center" vertical="center"/>
    </xf>
    <xf numFmtId="305" fontId="88" fillId="32" borderId="8" xfId="0" applyNumberFormat="1" applyFont="1" applyFill="1" applyBorder="1" applyAlignment="1">
      <alignment horizontal="center" vertical="center" wrapText="1"/>
    </xf>
    <xf numFmtId="305" fontId="88" fillId="32" borderId="77" xfId="0" applyNumberFormat="1" applyFont="1" applyFill="1" applyBorder="1" applyAlignment="1">
      <alignment horizontal="center" vertical="center"/>
    </xf>
    <xf numFmtId="306" fontId="88" fillId="0" borderId="72" xfId="0" applyFont="1" applyBorder="1" applyAlignment="1">
      <alignment horizontal="center" vertical="center"/>
    </xf>
    <xf numFmtId="306" fontId="88" fillId="0" borderId="68" xfId="0" applyFont="1" applyBorder="1" applyAlignment="1">
      <alignment horizontal="center" vertical="center" wrapText="1"/>
    </xf>
    <xf numFmtId="306" fontId="107" fillId="7" borderId="68" xfId="0" applyFont="1" applyFill="1" applyBorder="1" applyAlignment="1">
      <alignment horizontal="center" vertical="center"/>
    </xf>
    <xf numFmtId="306" fontId="100" fillId="7" borderId="68" xfId="0" applyFont="1" applyFill="1" applyBorder="1" applyAlignment="1">
      <alignment horizontal="center" vertical="center"/>
    </xf>
    <xf numFmtId="305" fontId="88" fillId="0" borderId="68" xfId="0" applyNumberFormat="1" applyFont="1" applyBorder="1" applyAlignment="1">
      <alignment horizontal="center" vertical="center" wrapText="1"/>
    </xf>
    <xf numFmtId="9" fontId="100" fillId="7" borderId="68" xfId="0" applyNumberFormat="1" applyFont="1" applyFill="1" applyBorder="1" applyAlignment="1">
      <alignment horizontal="center" vertical="center"/>
    </xf>
    <xf numFmtId="305" fontId="88" fillId="0" borderId="71" xfId="0" applyNumberFormat="1" applyFont="1" applyBorder="1" applyAlignment="1">
      <alignment horizontal="center" vertical="center"/>
    </xf>
    <xf numFmtId="306" fontId="99" fillId="0" borderId="8" xfId="0" applyFont="1" applyBorder="1" applyAlignment="1">
      <alignment horizontal="center" vertical="center"/>
    </xf>
    <xf numFmtId="306" fontId="135" fillId="0" borderId="77" xfId="0" applyBorder="1"/>
    <xf numFmtId="305" fontId="88" fillId="0" borderId="79" xfId="0" applyNumberFormat="1" applyFont="1" applyBorder="1" applyAlignment="1">
      <alignment horizontal="center" vertical="center"/>
    </xf>
    <xf numFmtId="305" fontId="88" fillId="0" borderId="79" xfId="0" applyNumberFormat="1" applyFont="1" applyBorder="1" applyAlignment="1">
      <alignment horizontal="center" vertical="center" wrapText="1"/>
    </xf>
    <xf numFmtId="9" fontId="118" fillId="0" borderId="82" xfId="0" applyNumberFormat="1" applyFont="1" applyAlignment="1">
      <alignment horizontal="center" vertical="center"/>
    </xf>
    <xf numFmtId="306" fontId="119" fillId="30" borderId="8" xfId="0" applyFont="1" applyFill="1" applyBorder="1" applyAlignment="1">
      <alignment horizontal="center" vertical="center" wrapText="1"/>
    </xf>
    <xf numFmtId="306" fontId="90" fillId="30" borderId="8" xfId="0" applyFont="1" applyFill="1" applyBorder="1" applyAlignment="1">
      <alignment horizontal="center" vertical="center" wrapText="1"/>
    </xf>
    <xf numFmtId="306" fontId="91" fillId="30" borderId="77" xfId="0" applyFont="1" applyFill="1" applyBorder="1" applyAlignment="1">
      <alignment horizontal="center" vertical="center" wrapText="1"/>
    </xf>
    <xf numFmtId="306" fontId="101" fillId="30" borderId="8" xfId="0" applyFont="1" applyFill="1" applyBorder="1" applyAlignment="1">
      <alignment horizontal="center" vertical="center"/>
    </xf>
    <xf numFmtId="306" fontId="92" fillId="30" borderId="8" xfId="0" applyFont="1" applyFill="1" applyBorder="1" applyAlignment="1">
      <alignment horizontal="center" vertical="center" wrapText="1"/>
    </xf>
    <xf numFmtId="306" fontId="93" fillId="30" borderId="8" xfId="0" applyFont="1" applyFill="1" applyBorder="1" applyAlignment="1">
      <alignment horizontal="center" vertical="center"/>
    </xf>
    <xf numFmtId="306" fontId="93" fillId="30" borderId="8" xfId="0" applyFont="1" applyFill="1" applyBorder="1" applyAlignment="1">
      <alignment horizontal="center" vertical="center" wrapText="1"/>
    </xf>
    <xf numFmtId="306" fontId="88" fillId="30" borderId="8" xfId="0" applyFont="1" applyFill="1" applyBorder="1" applyAlignment="1">
      <alignment horizontal="center" vertical="center"/>
    </xf>
    <xf numFmtId="306" fontId="97" fillId="30" borderId="8" xfId="0" applyFont="1" applyFill="1" applyBorder="1" applyAlignment="1">
      <alignment horizontal="center" vertical="center" wrapText="1"/>
    </xf>
    <xf numFmtId="306" fontId="101" fillId="30" borderId="8" xfId="0" applyFont="1" applyFill="1" applyBorder="1" applyAlignment="1">
      <alignment horizontal="center" vertical="center" wrapText="1"/>
    </xf>
    <xf numFmtId="306" fontId="120" fillId="7" borderId="8" xfId="0" applyFont="1" applyFill="1" applyBorder="1" applyAlignment="1">
      <alignment horizontal="center" vertical="center"/>
    </xf>
    <xf numFmtId="306" fontId="101" fillId="7" borderId="8" xfId="0" applyFont="1" applyFill="1" applyBorder="1" applyAlignment="1">
      <alignment horizontal="center" vertical="center"/>
    </xf>
    <xf numFmtId="306" fontId="101" fillId="0" borderId="8" xfId="0" applyFont="1" applyBorder="1" applyAlignment="1">
      <alignment horizontal="center" vertical="center"/>
    </xf>
    <xf numFmtId="302" fontId="101" fillId="7" borderId="8" xfId="0" applyNumberFormat="1" applyFont="1" applyFill="1" applyBorder="1" applyAlignment="1">
      <alignment horizontal="center" vertical="center"/>
    </xf>
    <xf numFmtId="302" fontId="101" fillId="27" borderId="8" xfId="0" applyNumberFormat="1" applyFont="1" applyFill="1" applyBorder="1" applyAlignment="1">
      <alignment horizontal="center" vertical="center"/>
    </xf>
    <xf numFmtId="306" fontId="121" fillId="7" borderId="8" xfId="0" applyFont="1" applyFill="1" applyBorder="1" applyAlignment="1">
      <alignment horizontal="center" vertical="center"/>
    </xf>
    <xf numFmtId="302" fontId="88" fillId="27" borderId="8" xfId="0" applyNumberFormat="1" applyFont="1" applyFill="1" applyBorder="1" applyAlignment="1">
      <alignment horizontal="center" vertical="center"/>
    </xf>
    <xf numFmtId="302" fontId="88" fillId="7" borderId="8" xfId="0" applyNumberFormat="1" applyFont="1" applyFill="1" applyBorder="1" applyAlignment="1">
      <alignment horizontal="center" vertical="center"/>
    </xf>
    <xf numFmtId="306" fontId="101" fillId="7" borderId="8" xfId="0" applyFont="1" applyFill="1" applyBorder="1" applyAlignment="1">
      <alignment horizontal="center" vertical="center" wrapText="1"/>
    </xf>
    <xf numFmtId="302" fontId="101" fillId="27" borderId="68" xfId="0" applyNumberFormat="1" applyFont="1" applyFill="1" applyBorder="1" applyAlignment="1">
      <alignment horizontal="center" vertical="center"/>
    </xf>
    <xf numFmtId="302" fontId="101" fillId="7" borderId="68" xfId="0" applyNumberFormat="1" applyFont="1" applyFill="1" applyBorder="1" applyAlignment="1">
      <alignment horizontal="center" vertical="center"/>
    </xf>
    <xf numFmtId="302" fontId="101" fillId="0" borderId="8" xfId="0" applyNumberFormat="1" applyFont="1" applyBorder="1" applyAlignment="1">
      <alignment horizontal="center" vertical="center"/>
    </xf>
    <xf numFmtId="306" fontId="88" fillId="35" borderId="8" xfId="0" applyFont="1" applyFill="1" applyBorder="1" applyAlignment="1">
      <alignment horizontal="center" vertical="center"/>
    </xf>
    <xf numFmtId="306" fontId="101" fillId="35" borderId="8" xfId="0" applyFont="1" applyFill="1" applyBorder="1" applyAlignment="1">
      <alignment horizontal="center" vertical="center"/>
    </xf>
    <xf numFmtId="306" fontId="122" fillId="0" borderId="8" xfId="0" applyFont="1" applyBorder="1" applyAlignment="1">
      <alignment horizontal="center" vertical="center" wrapText="1"/>
    </xf>
    <xf numFmtId="302" fontId="101" fillId="0" borderId="68" xfId="0" applyNumberFormat="1" applyFont="1" applyBorder="1" applyAlignment="1">
      <alignment horizontal="center" vertical="center"/>
    </xf>
    <xf numFmtId="306" fontId="123" fillId="7" borderId="8" xfId="0" applyFont="1" applyFill="1" applyBorder="1" applyAlignment="1">
      <alignment horizontal="center" vertical="center"/>
    </xf>
    <xf numFmtId="306" fontId="124" fillId="0" borderId="73" xfId="0" applyFont="1" applyBorder="1" applyAlignment="1">
      <alignment horizontal="center" vertical="center"/>
    </xf>
    <xf numFmtId="306" fontId="124" fillId="0" borderId="74" xfId="0" applyFont="1" applyBorder="1" applyAlignment="1">
      <alignment horizontal="center" vertical="center"/>
    </xf>
    <xf numFmtId="306" fontId="122" fillId="27" borderId="8" xfId="0" applyFont="1" applyFill="1" applyBorder="1" applyAlignment="1">
      <alignment horizontal="center" vertical="center" wrapText="1"/>
    </xf>
    <xf numFmtId="302" fontId="100" fillId="0" borderId="69" xfId="0" applyNumberFormat="1" applyFont="1" applyBorder="1" applyAlignment="1">
      <alignment horizontal="center" vertical="center"/>
    </xf>
    <xf numFmtId="302" fontId="100" fillId="7" borderId="69" xfId="0" applyNumberFormat="1" applyFont="1" applyFill="1" applyBorder="1" applyAlignment="1">
      <alignment horizontal="center" vertical="center"/>
    </xf>
    <xf numFmtId="306" fontId="101" fillId="32" borderId="8" xfId="0" applyFont="1" applyFill="1" applyBorder="1" applyAlignment="1">
      <alignment horizontal="center" vertical="center"/>
    </xf>
    <xf numFmtId="306" fontId="101" fillId="27" borderId="71" xfId="0" applyFont="1" applyFill="1" applyBorder="1" applyAlignment="1">
      <alignment horizontal="center" vertical="center"/>
    </xf>
    <xf numFmtId="302" fontId="101" fillId="7" borderId="8" xfId="0" applyNumberFormat="1" applyFont="1" applyFill="1" applyBorder="1" applyAlignment="1">
      <alignment horizontal="left" vertical="center" wrapText="1" indent="1"/>
    </xf>
    <xf numFmtId="306" fontId="125" fillId="31" borderId="8" xfId="0" applyFont="1" applyFill="1" applyBorder="1" applyAlignment="1">
      <alignment horizontal="center" vertical="center"/>
    </xf>
    <xf numFmtId="306" fontId="125" fillId="31" borderId="82" xfId="0" applyFont="1" applyFill="1" applyAlignment="1">
      <alignment horizontal="center" vertical="center"/>
    </xf>
    <xf numFmtId="306" fontId="126" fillId="31" borderId="8" xfId="0" applyFont="1" applyFill="1" applyBorder="1" applyAlignment="1">
      <alignment horizontal="center" vertical="center"/>
    </xf>
    <xf numFmtId="306" fontId="127" fillId="31" borderId="82" xfId="0" applyFont="1" applyFill="1" applyAlignment="1">
      <alignment horizontal="center" vertical="center"/>
    </xf>
    <xf numFmtId="306" fontId="135" fillId="0" borderId="69" xfId="0" applyBorder="1" applyAlignment="1">
      <alignment horizontal="center" vertical="center" wrapText="1"/>
    </xf>
    <xf numFmtId="306" fontId="135" fillId="0" borderId="76" xfId="0" applyBorder="1" applyAlignment="1">
      <alignment horizontal="center" vertical="center" wrapText="1"/>
    </xf>
    <xf numFmtId="306" fontId="135" fillId="0" borderId="70" xfId="0" applyBorder="1" applyAlignment="1">
      <alignment horizontal="center" vertical="center"/>
    </xf>
    <xf numFmtId="10" fontId="135" fillId="0" borderId="70" xfId="0" applyNumberFormat="1" applyBorder="1" applyAlignment="1">
      <alignment horizontal="center" vertical="center"/>
    </xf>
    <xf numFmtId="306" fontId="135" fillId="0" borderId="8" xfId="0" applyBorder="1" applyAlignment="1">
      <alignment horizontal="center" vertical="center"/>
    </xf>
    <xf numFmtId="303" fontId="135" fillId="0" borderId="8" xfId="0" applyNumberFormat="1" applyBorder="1" applyAlignment="1">
      <alignment horizontal="center" vertical="center"/>
    </xf>
    <xf numFmtId="306" fontId="135" fillId="27" borderId="79" xfId="0" applyFill="1" applyBorder="1" applyAlignment="1">
      <alignment horizontal="center" vertical="center" wrapText="1"/>
    </xf>
    <xf numFmtId="306" fontId="135" fillId="27" borderId="8" xfId="0" applyFill="1" applyBorder="1" applyAlignment="1">
      <alignment horizontal="center" vertical="center"/>
    </xf>
    <xf numFmtId="10" fontId="135" fillId="27" borderId="8" xfId="0" applyNumberFormat="1" applyFill="1" applyBorder="1" applyAlignment="1">
      <alignment horizontal="center" vertical="center"/>
    </xf>
    <xf numFmtId="306" fontId="135" fillId="27" borderId="82" xfId="0" applyFill="1" applyAlignment="1">
      <alignment horizontal="center" vertical="center"/>
    </xf>
    <xf numFmtId="303" fontId="135" fillId="27" borderId="8" xfId="0" applyNumberFormat="1" applyFill="1" applyBorder="1" applyAlignment="1">
      <alignment horizontal="center" vertical="center"/>
    </xf>
    <xf numFmtId="306" fontId="135" fillId="0" borderId="79" xfId="0" applyBorder="1" applyAlignment="1">
      <alignment horizontal="center" vertical="center" wrapText="1"/>
    </xf>
    <xf numFmtId="10" fontId="135" fillId="27" borderId="82" xfId="0" applyNumberFormat="1" applyFill="1" applyAlignment="1">
      <alignment horizontal="center" vertical="center"/>
    </xf>
    <xf numFmtId="303" fontId="135" fillId="27" borderId="82" xfId="0" applyNumberFormat="1" applyFill="1" applyAlignment="1">
      <alignment horizontal="center" vertical="center"/>
    </xf>
    <xf numFmtId="10" fontId="135" fillId="0" borderId="8" xfId="0" applyNumberFormat="1" applyBorder="1" applyAlignment="1">
      <alignment horizontal="center" vertical="center"/>
    </xf>
    <xf numFmtId="306" fontId="128" fillId="0" borderId="82" xfId="0" applyFont="1"/>
    <xf numFmtId="10" fontId="112" fillId="0" borderId="8" xfId="0" applyNumberFormat="1" applyFont="1" applyBorder="1" applyAlignment="1">
      <alignment horizontal="center" vertical="center"/>
    </xf>
    <xf numFmtId="306" fontId="135" fillId="0" borderId="82" xfId="0" applyAlignment="1">
      <alignment horizontal="center" vertical="center"/>
    </xf>
    <xf numFmtId="303" fontId="135" fillId="0" borderId="77" xfId="0" applyNumberFormat="1" applyBorder="1" applyAlignment="1">
      <alignment horizontal="center" vertical="center"/>
    </xf>
    <xf numFmtId="303" fontId="112" fillId="0" borderId="77" xfId="0" applyNumberFormat="1" applyFont="1" applyBorder="1" applyAlignment="1">
      <alignment horizontal="center" vertical="center"/>
    </xf>
    <xf numFmtId="303" fontId="112" fillId="0" borderId="8" xfId="0" applyNumberFormat="1" applyFont="1" applyBorder="1" applyAlignment="1">
      <alignment horizontal="center" vertical="center"/>
    </xf>
    <xf numFmtId="306" fontId="135" fillId="0" borderId="77" xfId="0" applyBorder="1" applyAlignment="1">
      <alignment horizontal="center" vertical="center"/>
    </xf>
    <xf numFmtId="306" fontId="128" fillId="0" borderId="8" xfId="0" applyFont="1" applyBorder="1" applyAlignment="1">
      <alignment horizontal="center"/>
    </xf>
    <xf numFmtId="306" fontId="135" fillId="0" borderId="68" xfId="0" applyBorder="1" applyAlignment="1">
      <alignment horizontal="center" vertical="center" wrapText="1"/>
    </xf>
    <xf numFmtId="306" fontId="128" fillId="0" borderId="82" xfId="0" applyFont="1" applyAlignment="1">
      <alignment horizontal="center"/>
    </xf>
    <xf numFmtId="306" fontId="129" fillId="0" borderId="8" xfId="0" applyFont="1" applyBorder="1" applyAlignment="1">
      <alignment horizontal="center" vertical="center" wrapText="1"/>
    </xf>
    <xf numFmtId="306" fontId="129" fillId="0" borderId="79" xfId="0" applyFont="1" applyBorder="1" applyAlignment="1">
      <alignment horizontal="center" vertical="center"/>
    </xf>
    <xf numFmtId="10" fontId="129" fillId="0" borderId="79" xfId="0" applyNumberFormat="1" applyFont="1" applyBorder="1" applyAlignment="1">
      <alignment horizontal="center" vertical="center"/>
    </xf>
    <xf numFmtId="10" fontId="129" fillId="27" borderId="79" xfId="0" applyNumberFormat="1" applyFont="1" applyFill="1" applyBorder="1" applyAlignment="1">
      <alignment horizontal="center" vertical="center"/>
    </xf>
    <xf numFmtId="306" fontId="129" fillId="27" borderId="82" xfId="0" applyFont="1" applyFill="1" applyAlignment="1">
      <alignment horizontal="center" vertical="center"/>
    </xf>
    <xf numFmtId="306" fontId="129" fillId="0" borderId="82" xfId="0" applyFont="1" applyAlignment="1">
      <alignment horizontal="center" vertical="center"/>
    </xf>
    <xf numFmtId="306" fontId="129" fillId="0" borderId="76" xfId="0" applyFont="1" applyBorder="1" applyAlignment="1">
      <alignment horizontal="center" vertical="center"/>
    </xf>
    <xf numFmtId="303" fontId="129" fillId="0" borderId="76" xfId="0" applyNumberFormat="1" applyFont="1" applyBorder="1" applyAlignment="1">
      <alignment horizontal="center" vertical="center"/>
    </xf>
    <xf numFmtId="303" fontId="112" fillId="27" borderId="8" xfId="0" applyNumberFormat="1" applyFont="1" applyFill="1" applyBorder="1" applyAlignment="1">
      <alignment horizontal="center" vertical="center"/>
    </xf>
    <xf numFmtId="306" fontId="129" fillId="27" borderId="76" xfId="0" applyFont="1" applyFill="1" applyBorder="1" applyAlignment="1">
      <alignment horizontal="center" vertical="center"/>
    </xf>
    <xf numFmtId="306" fontId="129" fillId="0" borderId="70" xfId="0" applyFont="1" applyBorder="1" applyAlignment="1">
      <alignment horizontal="center" vertical="center" wrapText="1"/>
    </xf>
    <xf numFmtId="10" fontId="129" fillId="0" borderId="76" xfId="0" applyNumberFormat="1" applyFont="1" applyBorder="1" applyAlignment="1">
      <alignment horizontal="center" vertical="center"/>
    </xf>
    <xf numFmtId="10" fontId="129" fillId="27" borderId="76" xfId="0" applyNumberFormat="1" applyFont="1" applyFill="1" applyBorder="1" applyAlignment="1">
      <alignment horizontal="center" vertical="center"/>
    </xf>
    <xf numFmtId="303" fontId="129" fillId="27" borderId="76" xfId="0" applyNumberFormat="1" applyFont="1" applyFill="1" applyBorder="1" applyAlignment="1">
      <alignment horizontal="center" vertical="center"/>
    </xf>
    <xf numFmtId="303" fontId="129" fillId="36" borderId="76" xfId="0" applyNumberFormat="1" applyFont="1" applyFill="1" applyBorder="1" applyAlignment="1">
      <alignment horizontal="center" vertical="center"/>
    </xf>
    <xf numFmtId="10" fontId="129" fillId="27" borderId="81" xfId="0" applyNumberFormat="1" applyFont="1" applyFill="1" applyBorder="1" applyAlignment="1">
      <alignment horizontal="center" vertical="center"/>
    </xf>
    <xf numFmtId="10" fontId="129" fillId="27" borderId="8" xfId="0" applyNumberFormat="1" applyFont="1" applyFill="1" applyBorder="1" applyAlignment="1">
      <alignment horizontal="center" vertical="center"/>
    </xf>
    <xf numFmtId="306" fontId="129" fillId="36" borderId="76" xfId="0" applyFont="1" applyFill="1" applyBorder="1" applyAlignment="1">
      <alignment horizontal="center" vertical="center"/>
    </xf>
    <xf numFmtId="306" fontId="129" fillId="27" borderId="8" xfId="0" applyFont="1" applyFill="1" applyBorder="1" applyAlignment="1">
      <alignment horizontal="center" vertical="center"/>
    </xf>
    <xf numFmtId="306" fontId="129" fillId="27" borderId="78" xfId="0" applyFont="1" applyFill="1" applyBorder="1" applyAlignment="1">
      <alignment horizontal="center" vertical="center"/>
    </xf>
    <xf numFmtId="306" fontId="129" fillId="0" borderId="69" xfId="0" applyFont="1" applyBorder="1" applyAlignment="1">
      <alignment horizontal="center" vertical="center" wrapText="1"/>
    </xf>
    <xf numFmtId="10" fontId="129" fillId="0" borderId="82" xfId="0" applyNumberFormat="1" applyFont="1" applyAlignment="1">
      <alignment horizontal="center" vertical="center"/>
    </xf>
    <xf numFmtId="303" fontId="129" fillId="0" borderId="82" xfId="0" applyNumberFormat="1" applyFont="1" applyAlignment="1">
      <alignment horizontal="center" vertical="center"/>
    </xf>
    <xf numFmtId="303" fontId="129" fillId="32" borderId="76" xfId="0" applyNumberFormat="1" applyFont="1" applyFill="1" applyBorder="1" applyAlignment="1">
      <alignment horizontal="center" vertical="center"/>
    </xf>
    <xf numFmtId="10" fontId="112" fillId="27" borderId="8" xfId="0" applyNumberFormat="1" applyFont="1" applyFill="1" applyBorder="1" applyAlignment="1">
      <alignment horizontal="center" vertical="center"/>
    </xf>
    <xf numFmtId="10" fontId="112" fillId="0" borderId="82" xfId="0" applyNumberFormat="1" applyFont="1" applyAlignment="1">
      <alignment horizontal="center" vertical="center"/>
    </xf>
    <xf numFmtId="303" fontId="112" fillId="0" borderId="82" xfId="0" applyNumberFormat="1" applyFont="1" applyAlignment="1">
      <alignment horizontal="center" vertical="center"/>
    </xf>
    <xf numFmtId="303" fontId="135" fillId="0" borderId="82" xfId="0" applyNumberFormat="1" applyAlignment="1">
      <alignment horizontal="center" vertical="center"/>
    </xf>
    <xf numFmtId="306" fontId="135" fillId="0" borderId="8" xfId="0" applyBorder="1" applyAlignment="1">
      <alignment horizontal="center" vertical="center" wrapText="1"/>
    </xf>
    <xf numFmtId="10" fontId="135" fillId="0" borderId="82" xfId="0" applyNumberFormat="1" applyAlignment="1">
      <alignment horizontal="center" vertical="center"/>
    </xf>
    <xf numFmtId="306" fontId="130" fillId="27" borderId="59" xfId="0" applyFont="1" applyFill="1" applyBorder="1" applyAlignment="1">
      <alignment horizontal="center" vertical="center" wrapText="1"/>
    </xf>
    <xf numFmtId="306" fontId="130" fillId="27" borderId="59" xfId="0" applyFont="1" applyFill="1" applyBorder="1" applyAlignment="1">
      <alignment horizontal="center" vertical="center"/>
    </xf>
    <xf numFmtId="2" fontId="131" fillId="0" borderId="59" xfId="0" applyNumberFormat="1" applyFont="1" applyBorder="1" applyAlignment="1">
      <alignment horizontal="center" vertical="center" wrapText="1"/>
    </xf>
    <xf numFmtId="306" fontId="132" fillId="28" borderId="59" xfId="0" applyFont="1" applyFill="1" applyBorder="1" applyAlignment="1">
      <alignment horizontal="center" vertical="center"/>
    </xf>
    <xf numFmtId="306" fontId="131" fillId="28" borderId="59" xfId="0" applyFont="1" applyFill="1" applyBorder="1" applyAlignment="1">
      <alignment horizontal="center" vertical="center" wrapText="1"/>
    </xf>
    <xf numFmtId="303" fontId="131" fillId="28" borderId="59" xfId="0" applyNumberFormat="1" applyFont="1" applyFill="1" applyBorder="1" applyAlignment="1">
      <alignment horizontal="center" vertical="center" wrapText="1"/>
    </xf>
    <xf numFmtId="2" fontId="131" fillId="0" borderId="8" xfId="0" applyNumberFormat="1" applyFont="1" applyBorder="1" applyAlignment="1">
      <alignment horizontal="center" vertical="center" wrapText="1"/>
    </xf>
    <xf numFmtId="306" fontId="133" fillId="27" borderId="59" xfId="0" applyFont="1" applyFill="1" applyBorder="1" applyAlignment="1">
      <alignment horizontal="center" vertical="center"/>
    </xf>
    <xf numFmtId="2" fontId="131" fillId="28" borderId="59" xfId="0" applyNumberFormat="1" applyFont="1" applyFill="1" applyBorder="1" applyAlignment="1">
      <alignment horizontal="center" vertical="center" wrapText="1"/>
    </xf>
    <xf numFmtId="306" fontId="131" fillId="28" borderId="8" xfId="0" applyFont="1" applyFill="1" applyBorder="1" applyAlignment="1">
      <alignment horizontal="center" vertical="center" wrapText="1"/>
    </xf>
    <xf numFmtId="306" fontId="85" fillId="37" borderId="59" xfId="0" applyFont="1" applyFill="1" applyBorder="1" applyAlignment="1">
      <alignment horizontal="center" vertical="center" wrapText="1"/>
    </xf>
    <xf numFmtId="2" fontId="85" fillId="37" borderId="59" xfId="0" applyNumberFormat="1" applyFont="1" applyFill="1" applyBorder="1" applyAlignment="1">
      <alignment horizontal="center" vertical="center" wrapText="1"/>
    </xf>
    <xf numFmtId="2" fontId="131" fillId="37" borderId="59" xfId="0" applyNumberFormat="1" applyFont="1" applyFill="1" applyBorder="1" applyAlignment="1">
      <alignment horizontal="center" vertical="center" wrapText="1"/>
    </xf>
    <xf numFmtId="304" fontId="85" fillId="37" borderId="59" xfId="0" applyNumberFormat="1" applyFont="1" applyFill="1" applyBorder="1" applyAlignment="1">
      <alignment horizontal="center" vertical="center" wrapText="1"/>
    </xf>
    <xf numFmtId="306" fontId="85" fillId="2" borderId="59" xfId="0" applyFont="1" applyFill="1" applyBorder="1" applyAlignment="1">
      <alignment horizontal="center" vertical="center" wrapText="1"/>
    </xf>
    <xf numFmtId="9" fontId="85" fillId="37" borderId="59" xfId="0" applyNumberFormat="1" applyFont="1" applyFill="1" applyBorder="1" applyAlignment="1">
      <alignment horizontal="center" vertical="center" wrapText="1"/>
    </xf>
    <xf numFmtId="303" fontId="85" fillId="37" borderId="59" xfId="0" applyNumberFormat="1" applyFont="1" applyFill="1" applyBorder="1" applyAlignment="1">
      <alignment horizontal="center" vertical="center" wrapText="1"/>
    </xf>
    <xf numFmtId="303" fontId="85" fillId="37" borderId="52" xfId="0" applyNumberFormat="1" applyFont="1" applyFill="1" applyBorder="1" applyAlignment="1">
      <alignment horizontal="center" vertical="center" wrapText="1"/>
    </xf>
    <xf numFmtId="302" fontId="85" fillId="2" borderId="52" xfId="0" applyNumberFormat="1" applyFont="1" applyFill="1" applyBorder="1" applyAlignment="1">
      <alignment horizontal="center" vertical="center" wrapText="1"/>
    </xf>
    <xf numFmtId="306" fontId="85" fillId="37" borderId="52" xfId="0" applyFont="1" applyFill="1" applyBorder="1" applyAlignment="1">
      <alignment horizontal="center" vertical="center" wrapText="1"/>
    </xf>
    <xf numFmtId="2" fontId="85" fillId="28" borderId="8" xfId="0" applyNumberFormat="1" applyFont="1" applyFill="1" applyBorder="1" applyAlignment="1">
      <alignment horizontal="center" vertical="center" wrapText="1"/>
    </xf>
    <xf numFmtId="2" fontId="131" fillId="28" borderId="8" xfId="0" applyNumberFormat="1" applyFont="1" applyFill="1" applyBorder="1" applyAlignment="1">
      <alignment horizontal="center" vertical="center" wrapText="1"/>
    </xf>
    <xf numFmtId="0" fontId="133" fillId="27" borderId="59" xfId="0" applyNumberFormat="1" applyFont="1" applyFill="1" applyBorder="1" applyAlignment="1">
      <alignment horizontal="center" vertical="center"/>
    </xf>
    <xf numFmtId="0" fontId="130" fillId="27" borderId="59" xfId="0" applyNumberFormat="1" applyFont="1" applyFill="1" applyBorder="1" applyAlignment="1">
      <alignment horizontal="center" vertical="center" wrapText="1"/>
    </xf>
    <xf numFmtId="0" fontId="130" fillId="27" borderId="59" xfId="0" applyNumberFormat="1" applyFont="1" applyFill="1" applyBorder="1" applyAlignment="1">
      <alignment horizontal="center" vertical="center"/>
    </xf>
    <xf fontId="82" fillId="26" borderId="59" xfId="0">
      <alignment horizontal="center" vertical="center" wrapText="1"/>
    </xf>
    <xf fontId="0" fillId="2" borderId="0" xfId="0"/>
    <xf fontId="0" fillId="2" borderId="7" xfId="0"/>
    <xf fontId="14" fillId="2" borderId="0" xfId="0"/>
    <xf numFmtId="306" fontId="24" fillId="19" borderId="36" xfId="0" applyNumberFormat="1" applyFont="1" applyFill="1" applyBorder="1" applyAlignment="1">
      <alignment horizontal="center" vertical="center"/>
    </xf>
    <xf numFmtId="306" fontId="35" fillId="19" borderId="30" xfId="0" applyNumberFormat="1" applyFont="1" applyFill="1" applyBorder="1" applyAlignment="1">
      <alignment horizontal="center" vertical="center"/>
    </xf>
    <xf numFmtId="306" fontId="135" fillId="0" borderId="82" xfId="0"/>
    <xf numFmtId="306" fontId="59" fillId="19" borderId="82" xfId="0" applyNumberFormat="1" applyFont="1" applyFill="1" applyBorder="1" applyAlignment="1">
      <alignment horizontal="center" vertical="center"/>
    </xf>
    <xf numFmtId="306" fontId="59" fillId="19" borderId="36" xfId="0" applyNumberFormat="1" applyFont="1" applyFill="1" applyBorder="1" applyAlignment="1">
      <alignment horizontal="center" vertical="center"/>
    </xf>
    <xf numFmtId="306" fontId="52" fillId="19" borderId="30" xfId="0" applyNumberFormat="1" applyFont="1" applyFill="1" applyBorder="1" applyAlignment="1">
      <alignment horizontal="center" vertical="center"/>
    </xf>
    <xf numFmtId="307" fontId="59" fillId="19" borderId="82" xfId="0" applyNumberFormat="1" applyFont="1" applyFill="1" applyBorder="1" applyAlignment="1">
      <alignment horizontal="center" vertical="center"/>
    </xf>
    <xf numFmtId="306" fontId="26" fillId="19" borderId="83" xfId="0" applyNumberFormat="1" applyFont="1" applyFill="1" applyBorder="1" applyAlignment="1">
      <alignment horizontal="center" vertical="center"/>
    </xf>
    <xf numFmtId="306" fontId="135" fillId="19" borderId="82" xfId="0" applyNumberFormat="1" applyFill="1" applyBorder="1" applyAlignment="1">
      <alignment vertical="center"/>
    </xf>
    <xf numFmtId="306" fontId="134" fillId="19" borderId="82" xfId="0" applyNumberFormat="1" applyFont="1" applyFill="1" applyBorder="1" applyAlignment="1">
      <alignment vertical="center"/>
    </xf>
    <xf numFmtId="306" fontId="134" fillId="19" borderId="82" xfId="0" applyNumberFormat="1" applyFont="1" applyFill="1" applyBorder="1" applyAlignment="1">
      <alignment horizontal="center" vertical="center"/>
    </xf>
    <xf numFmtId="306" fontId="112" fillId="19" borderId="82" xfId="0" applyNumberFormat="1" applyFont="1" applyFill="1" applyBorder="1" applyAlignment="1">
      <alignment vertical="center"/>
    </xf>
    <xf numFmtId="304" fontId="135" fillId="19" borderId="82" xfId="0" applyNumberFormat="1" applyFill="1" applyBorder="1" applyAlignment="1">
      <alignment vertical="center"/>
    </xf>
    <xf numFmtId="307" fontId="135" fillId="19" borderId="82" xfId="0" applyNumberFormat="1" applyFill="1" applyBorder="1" applyAlignment="1">
      <alignment vertical="center"/>
    </xf>
    <xf numFmtId="302" fontId="135" fillId="19" borderId="82" xfId="0" applyNumberFormat="1" applyFill="1" applyBorder="1" applyAlignment="1">
      <alignment vertical="center"/>
    </xf>
    <xf numFmtId="306" fontId="135" fillId="29" borderId="82" xfId="0" applyNumberFormat="1" applyFill="1" applyBorder="1"/>
    <xf numFmtId="306" fontId="135" fillId="29" borderId="8" xfId="0" applyNumberFormat="1" applyFill="1" applyBorder="1"/>
    <xf numFmtId="306" fontId="94" fillId="29" borderId="82" xfId="0" applyNumberFormat="1" applyFont="1" applyFill="1" applyBorder="1"/>
    <xf numFmtId="306" fontId="100" fillId="19" borderId="82" xfId="0" applyNumberFormat="1" applyFont="1" applyFill="1" applyBorder="1" applyAlignment="1">
      <alignment horizontal="center" vertical="center"/>
    </xf>
    <xf numFmtId="306" fontId="118" fillId="19" borderId="82" xfId="0" applyNumberFormat="1" applyFont="1" applyFill="1" applyBorder="1" applyAlignment="1">
      <alignment horizontal="center" vertical="center"/>
    </xf>
    <xf numFmtId="307" fontId="118" fillId="19" borderId="82" xfId="0" applyNumberFormat="1" applyFont="1" applyFill="1" applyBorder="1" applyAlignment="1">
      <alignment horizontal="center" vertical="center"/>
    </xf>
    <xf numFmtId="306" fontId="101" fillId="19" borderId="82" xfId="0" applyNumberFormat="1" applyFont="1" applyFill="1" applyBorder="1" applyAlignment="1">
      <alignment horizontal="center" vertical="center"/>
    </xf>
    <xf numFmtId="306" fontId="135" fillId="19" borderId="82" xfId="0" applyNumberFormat="1" applyFill="1" applyBorder="1" applyAlignment="1">
      <alignment horizontal="center" vertical="center"/>
    </xf>
  </cellXfs>
  <cellStyles>
    <cellStyle name="常规" xfId="0" builtinId="0"/>
  </cellStyles>
  <dxfs count="26">
    <dxf>
      <font>
        <name val="Microsoft YaHei"/>
        <b val="0"/>
        <i val="0"/>
        <strike val="0"/>
        <color rgb="FF243247"/>
        <sz val="10"/>
        <u val="none"/>
      </font>
      <numFmt numFmtId="1" formatCode="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</dxf>
    <dxf>
      <font>
        <name val="Microsoft YaHei"/>
        <b val="1"/>
        <i val="0"/>
        <strike val="0"/>
        <color rgb="FF233F5B"/>
        <sz val="10"/>
        <u val="none"/>
      </font>
      <numFmt numFmtId="0" formatCode="General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b val="0"/>
        <i val="0"/>
        <strike val="0"/>
        <color rgb="FF243247"/>
        <sz val="10"/>
        <u val="none"/>
      </font>
      <numFmt numFmtId="0" formatCode="General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numFmt numFmtId="178" formatCode="0.00_ "/>
    </dxf>
    <dxf>
      <numFmt numFmtId="1" formatCode="0"/>
    </dxf>
    <dxf>
      <font>
        <name val="Microsoft YaHei"/>
        <b val="0"/>
        <i val="0"/>
        <strike val="0"/>
        <color rgb="FF243247"/>
        <sz val="10"/>
        <u val="none"/>
      </font>
      <numFmt numFmtId="2" formatCode="0.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b val="0"/>
        <i val="0"/>
        <strike val="0"/>
        <color rgb="FF243247"/>
        <sz val="10"/>
        <u val="none"/>
      </font>
      <numFmt numFmtId="178" formatCode="0.00_ 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0.00_ "/>
      <alignment horizontal="center"/>
    </dxf>
    <dxf>
      <numFmt numFmtId="179" formatCode="0.0%"/>
      <fill>
        <patternFill patternType="solid">
          <bgColor theme="0" tint="-0.15"/>
        </patternFill>
      </fill>
      <alignment horizontal="center"/>
    </dxf>
    <dxf>
      <fill>
        <patternFill patternType="solid">
          <bgColor theme="0" tint="-0.15"/>
        </patternFill>
      </fill>
      <alignment horizontal="center"/>
    </dxf>
    <dxf>
      <alignment horizontal="center"/>
    </dxf>
    <dxf>
      <font>
        <name val="Microsoft YaHei"/>
        <b val="0"/>
        <i val="0"/>
        <strike val="0"/>
        <color rgb="FF243247"/>
        <sz val="10"/>
        <u val="none"/>
      </font>
      <numFmt numFmtId="0" formatCode="General"/>
      <fill>
        <patternFill patternType="none"/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000000"/>
        <sz val="11"/>
        <u val="none"/>
      </font>
      <fill>
        <patternFill patternType="solid">
          <bgColor rgb="FFFFFFFF"/>
        </patternFill>
      </fill>
      <border>
        <left style="thin">
          <color rgb="FFFBE5D6"/>
        </left>
        <right style="thin">
          <color rgb="FFFBE5D6"/>
        </right>
        <top style="thin">
          <color rgb="FFFBE5D6"/>
        </top>
        <bottom style="thin">
          <color rgb="FFFBE5D6"/>
        </bottom>
        <vertical style="thin">
          <color rgb="FFFBE5D6" tint="0.6"/>
        </vertical>
        <horizontal style="thin">
          <color rgb="FFFBE5D6" tint="0.6"/>
        </horizontal>
      </border>
    </dxf>
    <dxf>
      <font>
        <b val="1"/>
        <i val="0"/>
        <color rgb="FFFBE5D6"/>
        <sz val="11"/>
        <u val="none"/>
      </font>
      <fill>
        <patternFill patternType="solid">
          <bgColor rgb="FFFFFFFF"/>
        </patternFill>
      </fill>
      <border>
        <left style="thin">
          <color rgb="FFFBE5D6"/>
        </left>
        <right style="thin">
          <color rgb="FFFBE5D6"/>
        </right>
        <top style="thin">
          <color rgb="FFFBE5D6"/>
        </top>
        <bottom style="thin">
          <color rgb="FFFBE5D6" tint="0.6"/>
        </bottom>
        <vertical style="thin">
          <color rgb="FFFBE5D6" tint="0.6"/>
        </vertical>
        <horizontal/>
      </border>
    </dxf>
    <dxf>
      <font>
        <b val="1"/>
        <i val="0"/>
        <color rgb="FFFBE5D6"/>
        <sz val="11"/>
        <u val="none"/>
      </font>
      <fill>
        <patternFill patternType="solid">
          <bgColor rgb="FFFFFFFF"/>
        </patternFill>
      </fill>
      <border>
        <left style="thin">
          <color rgb="FFFBE5D6"/>
        </left>
        <right style="thin">
          <color rgb="FFFBE5D6"/>
        </right>
        <top style="thin">
          <color rgb="FFFBE5D6" tint="0.6"/>
        </top>
        <bottom style="thin">
          <color rgb="FFFBE5D6"/>
        </bottom>
        <vertical/>
        <horizontal/>
      </border>
    </dxf>
    <dxf>
      <font>
        <b val="1"/>
        <i val="0"/>
        <color rgb="FF08090C"/>
        <sz val="11"/>
        <u val="none"/>
      </font>
      <fill>
        <patternFill patternType="solid">
          <bgColor rgb="FFFBE5D6" tint="0.8"/>
        </patternFill>
      </fill>
      <border>
        <left style="thin">
          <color rgb="FFFBE5D6"/>
        </left>
        <right style="thin">
          <color rgb="FFFBE5D6" tint="0.6"/>
        </right>
        <top style="thin">
          <color rgb="FFFBE5D6"/>
        </top>
        <bottom style="thin">
          <color rgb="FFFBE5D6"/>
        </bottom>
        <vertical/>
        <horizontal style="thin">
          <color rgb="FFFBE5D6" tint="0.6"/>
        </horizontal>
      </border>
    </dxf>
    <dxf>
      <font>
        <b val="1"/>
        <i val="0"/>
        <color rgb="FF08090C"/>
        <sz val="11"/>
        <u val="none"/>
      </font>
      <fill>
        <patternFill patternType="solid">
          <bgColor rgb="FFFBE5D6" tint="0.8"/>
        </patternFill>
      </fill>
      <border>
        <left style="thin">
          <color rgb="FFFBE5D6" tint="0.6"/>
        </left>
        <right style="thin">
          <color rgb="FFFBE5D6"/>
        </right>
        <top style="thin">
          <color rgb="FFFBE5D6"/>
        </top>
        <bottom style="thin">
          <color rgb="FFFBE5D6"/>
        </bottom>
        <vertical/>
        <horizontal style="thin">
          <color rgb="FFFBE5D6" tint="0.6"/>
        </horizontal>
      </border>
    </dxf>
    <dxf>
      <fill>
        <patternFill patternType="solid">
          <bgColor rgb="FFFBE5D6" tint="0.9"/>
        </patternFill>
      </fill>
    </dxf>
    <dxf>
      <fill>
        <patternFill patternType="solid">
          <bgColor rgb="FFFBE5D6" tint="0.9"/>
        </patternFill>
      </fill>
      <border>
        <left style="thin">
          <color rgb="FFFBE5D6"/>
        </left>
        <right style="thin">
          <color rgb="FFFBE5D6"/>
        </right>
        <top style="thin">
          <color rgb="FFFBE5D6"/>
        </top>
        <bottom style="thin">
          <color rgb="FFFBE5D6"/>
        </bottom>
        <vertical/>
        <horizontal style="thin">
          <color rgb="FFFBE5D6" tint="0.6"/>
        </horizontal>
      </border>
    </dxf>
    <dxf>
      <border>
        <left style="thin">
          <color rgb="FFFBE5D6" tint="0.6"/>
        </left>
        <right style="thin">
          <color rgb="FFFBE5D6" tint="0.6"/>
        </right>
        <top style="thin">
          <color rgb="FFFBE5D6"/>
        </top>
        <bottom style="thin">
          <color rgb="FFFBE5D6"/>
        </bottom>
        <vertical/>
        <horizontal style="thin">
          <color rgb="FFFBE5D6" tint="0.6"/>
        </horizontal>
      </border>
    </dxf>
    <dxf>
      <font>
        <b val="1"/>
        <i val="0"/>
        <color rgb="FFFBE5D6"/>
        <sz val="11"/>
        <u val="none"/>
      </font>
      <fill>
        <patternFill patternType="solid">
          <bgColor rgb="FFFFFFFF"/>
        </patternFill>
      </fill>
      <border>
        <left style="thin">
          <color rgb="FFFBE5D6"/>
        </left>
        <right style="thin">
          <color rgb="FFFBE5D6" tint="0.6"/>
        </right>
        <top style="thin">
          <color rgb="FFFBE5D6"/>
        </top>
        <bottom style="thin">
          <color rgb="FFFBE5D6" tint="0.6"/>
        </bottom>
        <vertical/>
        <horizontal/>
      </border>
    </dxf>
    <dxf>
      <font>
        <b val="1"/>
        <i val="0"/>
        <color rgb="FFFBE5D6"/>
        <sz val="11"/>
        <u val="none"/>
      </font>
      <fill>
        <patternFill patternType="solid">
          <bgColor rgb="FFFFFFFF"/>
        </patternFill>
      </fill>
      <border>
        <left style="thin">
          <color rgb="FFFBE5D6" tint="0.6"/>
        </left>
        <right style="thin">
          <color rgb="FFFBE5D6"/>
        </right>
        <top style="thin">
          <color rgb="FFFBE5D6"/>
        </top>
        <bottom style="thin">
          <color rgb="FFFBE5D6" tint="0.6"/>
        </bottom>
        <vertical/>
        <horizontal/>
      </border>
    </dxf>
    <dxf>
      <font>
        <b val="1"/>
        <i val="0"/>
        <color rgb="FFFBE5D6"/>
        <sz val="11"/>
        <u val="none"/>
      </font>
      <fill>
        <patternFill patternType="solid">
          <bgColor rgb="FFFFFFFF"/>
        </patternFill>
      </fill>
      <border>
        <left style="thin">
          <color rgb="FFFBE5D6"/>
        </left>
        <right/>
        <top style="thin">
          <color rgb="FFFBE5D6" tint="0.6"/>
        </top>
        <bottom style="thin">
          <color rgb="FFFBE5D6"/>
        </bottom>
        <vertical/>
        <horizontal/>
      </border>
    </dxf>
    <dxf>
      <font>
        <b val="1"/>
        <i val="0"/>
        <color rgb="FFFBE5D6"/>
        <sz val="11"/>
        <u val="none"/>
      </font>
      <fill>
        <patternFill patternType="solid">
          <bgColor rgb="FFFFFFFF"/>
        </patternFill>
      </fill>
      <border>
        <left/>
        <right style="thin">
          <color rgb="FFFBE5D6"/>
        </right>
        <top style="thin">
          <color rgb="FFFBE5D6" tint="0.6"/>
        </top>
        <bottom style="thin">
          <color rgb="FFFBE5D6"/>
        </bottom>
        <vertical/>
        <horizontal/>
      </border>
    </dxf>
  </dxfs>
  <tableStyles count="1" defaultTableStyle="TableStyleMedium2" defaultPivotStyle="PivotStyleLight16">
    <tableStyle name="简约浅色系标题行表格样式_a5e44a" count="12">
      <tableStyleElement type="wholeTable" dxfId="14"/>
      <tableStyleElement type="headerRow" dxfId="15"/>
      <tableStyleElement type="totalRow" dxfId="16"/>
      <tableStyleElement type="firstColumn" dxfId="17"/>
      <tableStyleElement type="lastColumn" dxfId="18"/>
      <tableStyleElement type="secondRowStripe" dxfId="19"/>
      <tableStyleElement type="firstColumnStripe" dxfId="20"/>
      <tableStyleElement type="secondColumnStripe" dxfId="21"/>
      <tableStyleElement type="firstHeaderCell" dxfId="22"/>
      <tableStyleElement type="lastHeaderCell" dxfId="23"/>
      <tableStyleElement type="firstTotalCell" dxfId="24"/>
      <tableStyleElement type="lastTotalCell" dxfId="25"/>
    </tableStyle>
  </table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6" Type="http://schemas.openxmlformats.org/officeDocument/2006/relationships/worksheet" Target="worksheets/sheet4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表4" displayName="表4" ref="A5:AI64" headerRowCount="1" totalsRowCount="0" totalsRowShown="0">
  <sortState ref="A6:AI64">
    <sortCondition ref="Q5"/>
  </sortState>
  <tableColumns count="35">
    <tableColumn id="1" name="排名" dataDxfId="0">
      <calculatedColumnFormula>ROW(D6)-4</calculatedColumnFormula>
    </tableColumn>
    <tableColumn id="2" name="子弹类型" dataDxfId="1"/>
    <tableColumn id="3" name="武器种类" dataDxfId="1"/>
    <tableColumn id="4" name="武器名称+状态" dataDxfId="2"/>
    <tableColumn id="5" name="胸部" dataDxfId="0"/>
    <tableColumn id="6" name="腿部倍率" dataDxfId="3"/>
    <tableColumn id="7" name="腿部伤害" dataDxfId="0"/>
    <tableColumn id="8" name="头部倍率" dataDxfId="0"/>
    <tableColumn id="9" name="头部伤害" dataDxfId="4"/>
    <tableColumn id="10" name="白甲&#10;（150）" dataDxfId="5"/>
    <tableColumn id="11" name="蓝甲&#10;（175）" dataDxfId="5"/>
    <tableColumn id="12" name="紫甲&#10;（200）" dataDxfId="5"/>
    <tableColumn id="13" name="红甲&#10;（225）" dataDxfId="0"/>
    <tableColumn id="14" name="RPM" dataDxfId="6">
      <calculatedColumnFormula>(W6-J6)*60/N6</calculatedColumnFormula>
    </tableColumn>
    <tableColumn id="15" name="白甲TTK&#10;（150）" dataDxfId="7"/>
    <tableColumn id="16" name="蓝甲TTK&#10;（175）" dataDxfId="7"/>
    <tableColumn id="17" name="紫甲TTK&#10;（200）" dataDxfId="7"/>
    <tableColumn id="18" name="红甲TTK&#10;（225）" dataDxfId="7"/>
    <tableColumn id="19" name="每秒伤害" dataDxfId="7"/>
    <tableColumn id="20" name="无弹匣" dataDxfId="3"/>
    <tableColumn id="21" name="白弹匣" dataDxfId="0"/>
    <tableColumn id="22" name="蓝弹匣" dataDxfId="0"/>
    <tableColumn id="23" name="紫弹匣" dataDxfId="0"/>
    <tableColumn id="24" name="紫弹匣&#10;（胸部）" dataDxfId="0"/>
    <tableColumn id="25" name="紫甲容错率&#10;（200）" dataDxfId="8">
      <calculatedColumnFormula>(W6-L6)/W6*100%</calculatedColumnFormula>
    </tableColumn>
    <tableColumn id="26" name="紫甲TTM&#10;（200）" dataDxfId="0"/>
    <tableColumn id="27" name="空仓换弹速度" dataDxfId="9"/>
    <tableColumn id="28" name="战术换弹速度" dataDxfId="9"/>
    <tableColumn id="29" name="跑步移速" dataDxfId="10"/>
    <tableColumn id="30" name="腰射移速" dataDxfId="11">
      <calculatedColumnFormula>173.5/299</calculatedColumnFormula>
    </tableColumn>
    <tableColumn id="31" name="开镜移速" dataDxfId="11">
      <calculatedColumnFormula>173.5/299</calculatedColumnFormula>
    </tableColumn>
    <tableColumn id="32" name="后坐力控制" dataDxfId="12"/>
    <tableColumn id="33" name="腰射精准度" dataDxfId="12"/>
    <tableColumn id="34" name="武器操控" dataDxfId="12"/>
    <tableColumn id="35" name="备注" dataDxfId="13"/>
  </tableColumns>
  <tableStyleInfo name="简约浅色系标题行表格样式_a5e44a" showFirstColumn="0" showLastColumn="0" showRowStripes="0" showColumnStripes="0"/>
</table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oldcucumber.github.io/Apex_TTK-HIT_Curve/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s://oldcucumber.github.io/Apex_TTK-HIT_Curve/" TargetMode="External"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hyperlink" Target="https://oldcucumber.github.io/Apex_TTK-HIT_Curve/" TargetMode="External"/></Relationships>
</file>

<file path=xl/worksheets/_rels/sheet9.xml.rels><?xml version="1.0" encoding="UTF-8" standalone="yes"?><Relationships xmlns="http://schemas.openxmlformats.org/package/2006/relationships"><Relationship Id="rId0" Type="http://schemas.openxmlformats.org/officeDocument/2006/relationships/hyperlink" Target="https://oldcucumber.github.io/Apex_TTK-HIT_Cur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TTK排行榜"/>
  <dimension ref="V76"/>
  <sheetViews>
    <sheetView showGridLines="1" tabSelected="0" zoomScale="40" zoomScaleNormal="40" workbookViewId="0">
      <pane ySplit="8" topLeftCell="A9" state="frozen"/>
    </sheetView>
  </sheetViews>
  <sheetFormatPr baseColWidth="8" defaultRowHeight="34" customHeight="1"/>
  <cols>
    <col min="1" max="1" width="12.1641" style="934" customWidth="1"/>
    <col min="2" max="2" width="10.3828" style="934" customWidth="1"/>
    <col min="3" max="3" width="9.75" style="934" customWidth="1"/>
    <col min="4" max="4" width="17.4141" style="934" customWidth="1"/>
    <col min="5" max="5" width="13.2422" style="935" customWidth="1"/>
    <col min="6" max="6" width="10.0508" style="934" customWidth="1"/>
    <col min="7" max="7" width="12.75" style="935" customWidth="1"/>
    <col min="8" max="8" width="9.5625" style="934" customWidth="1"/>
    <col min="9" max="9" width="13.8594" style="935" customWidth="1"/>
    <col min="10" max="10" width="10.0508" style="936" hidden="1" customWidth="1"/>
    <col min="11" max="11" width="15.582" style="934" customWidth="1"/>
    <col min="12" max="13" width="10.582" style="934" customWidth="1"/>
    <col min="14" max="15" width="10.582" style="936" customWidth="1"/>
    <col min="16" max="19" width="14.582" style="936" customWidth="1"/>
    <col min="20" max="20" width="14.582" style="936" hidden="1" customWidth="1"/>
    <col min="21" max="21" width="14.582" style="936" customWidth="1"/>
    <col min="22" max="22" width="64.0547" style="934" customWidth="1"/>
  </cols>
  <sheetData>
    <row r="1" spans="1:22" s="928" customFormat="1" ht="44.25" customHeight="1">
      <c r="A1" s="4" t="s">
        <v>1</v>
      </c>
      <c r="B1" s="5" t="s"/>
      <c r="C1" s="5" t="s"/>
      <c r="D1" s="5" t="s"/>
      <c r="E1" s="6" t="s"/>
      <c r="F1" s="5" t="s"/>
      <c r="G1" s="6" t="s"/>
      <c r="H1" s="5" t="s"/>
      <c r="I1" s="6" t="s"/>
      <c r="J1" s="7" t="s"/>
      <c r="K1" s="5" t="s"/>
      <c r="L1" s="5" t="s"/>
      <c r="M1" s="5" t="s"/>
      <c r="N1" s="8" t="s"/>
      <c r="O1" s="8" t="s"/>
      <c r="P1" s="8" t="s"/>
      <c r="Q1" s="8" t="s"/>
      <c r="R1" s="8" t="s"/>
      <c r="S1" s="8" t="s"/>
      <c r="T1" s="7" t="s"/>
      <c r="U1" s="9" t="s"/>
      <c r="V1" s="5" t="s"/>
    </row>
    <row r="2" spans="1:22" s="929" customFormat="1" ht="30" customHeight="1">
      <c r="A2" s="10" t="s">
        <v>2</v>
      </c>
      <c r="B2" s="11" t="s"/>
      <c r="C2" s="11" t="s"/>
      <c r="D2" s="11" t="s"/>
      <c r="E2" s="11" t="s"/>
      <c r="F2" s="11" t="s"/>
      <c r="G2" s="11" t="s"/>
      <c r="H2" s="11" t="s"/>
      <c r="I2" s="11" t="s"/>
      <c r="J2" s="12" t="s"/>
      <c r="K2" s="11" t="s"/>
      <c r="L2" s="11" t="s"/>
      <c r="M2" s="11" t="s"/>
      <c r="N2" s="11" t="s"/>
      <c r="O2" s="11" t="s"/>
      <c r="P2" s="11" t="s"/>
      <c r="Q2" s="11" t="s"/>
      <c r="R2" s="11" t="s"/>
      <c r="S2" s="11" t="s"/>
      <c r="T2" s="12" t="s"/>
      <c r="U2" s="13" t="s"/>
      <c r="V2" s="11" t="s"/>
    </row>
    <row r="3" spans="1:22" s="928" customFormat="1" ht="30" hidden="1" customHeight="1">
      <c r="A3" s="14" t="s">
        <v>598</v>
      </c>
      <c r="B3" s="11" t="s"/>
      <c r="C3" s="11" t="s"/>
      <c r="D3" s="11" t="s"/>
      <c r="E3" s="11" t="s"/>
      <c r="F3" s="11" t="s"/>
      <c r="G3" s="11" t="s"/>
      <c r="H3" s="11" t="s"/>
      <c r="I3" s="11" t="s"/>
      <c r="J3" s="15" t="s"/>
      <c r="K3" s="11" t="s"/>
      <c r="L3" s="11" t="s"/>
      <c r="M3" s="11" t="s"/>
      <c r="N3" s="11" t="s"/>
      <c r="O3" s="11" t="s"/>
      <c r="P3" s="11" t="s"/>
      <c r="Q3" s="11" t="s"/>
      <c r="R3" s="11" t="s"/>
      <c r="S3" s="11" t="s"/>
      <c r="T3" s="15" t="s"/>
      <c r="U3" s="16" t="s"/>
      <c r="V3" s="11" t="s"/>
    </row>
    <row r="4" spans="1:22" s="930" customFormat="1" ht="27.75" hidden="1" customHeight="1">
      <c r="A4" s="17" t="s">
        <v>3</v>
      </c>
      <c r="B4" s="11" t="s"/>
      <c r="C4" s="11" t="s"/>
      <c r="D4" s="11" t="s"/>
      <c r="E4" s="11" t="s"/>
      <c r="F4" s="11" t="s"/>
      <c r="G4" s="11" t="s"/>
      <c r="H4" s="11" t="s"/>
      <c r="I4" s="18" t="s">
        <v>4</v>
      </c>
      <c r="J4" s="19" t="s"/>
      <c r="K4" s="11" t="s"/>
      <c r="L4" s="11" t="s"/>
      <c r="M4" s="11" t="s"/>
      <c r="N4" s="11" t="s"/>
      <c r="O4" s="11" t="s"/>
      <c r="P4" s="11" t="s"/>
      <c r="Q4" s="11" t="s"/>
      <c r="R4" s="20" t="s">
        <v>5</v>
      </c>
      <c r="S4" s="21" t="s"/>
      <c r="T4" s="22" t="s"/>
      <c r="U4" s="23" t="s"/>
      <c r="V4" s="24" t="s"/>
    </row>
    <row r="5" spans="1:22" s="930" customFormat="1" ht="176.25" hidden="1" customHeight="1">
      <c r="A5" s="25" t="s"/>
      <c r="B5" s="26" t="s"/>
      <c r="C5" s="26" t="s"/>
      <c r="D5" s="26" t="s"/>
      <c r="E5" s="26" t="s"/>
      <c r="F5" s="26" t="s"/>
      <c r="G5" s="26" t="s"/>
      <c r="H5" s="26" t="s"/>
      <c r="I5" s="27" t="s"/>
      <c r="J5" s="28" t="s"/>
      <c r="K5" s="26" t="s"/>
      <c r="L5" s="26" t="s"/>
      <c r="M5" s="26" t="s"/>
      <c r="N5" s="26" t="s"/>
      <c r="O5" s="26" t="s"/>
      <c r="P5" s="26" t="s"/>
      <c r="Q5" s="26" t="s"/>
      <c r="R5" s="29" t="s"/>
      <c r="S5" s="26" t="s"/>
      <c r="T5" s="30" t="s"/>
      <c r="U5" s="31" t="s"/>
      <c r="V5" s="26" t="s"/>
    </row>
    <row r="6" spans="1:22" s="928" customFormat="1" ht="26.25" customHeight="1">
      <c r="A6" s="32" t="s">
        <v>599</v>
      </c>
      <c r="B6" s="33" t="s">
        <v>6</v>
      </c>
      <c r="C6" s="34" t="s"/>
      <c r="D6" s="34" t="s"/>
      <c r="E6" s="35" t="s">
        <v>7</v>
      </c>
      <c r="F6" s="36" t="s"/>
      <c r="G6" s="36" t="s"/>
      <c r="H6" s="36" t="s"/>
      <c r="I6" s="36" t="s"/>
      <c r="J6" s="37" t="s">
        <v>8</v>
      </c>
      <c r="K6" s="35" t="s">
        <v>9</v>
      </c>
      <c r="L6" s="35" t="s">
        <v>10</v>
      </c>
      <c r="M6" s="36" t="s"/>
      <c r="N6" s="38" t="s"/>
      <c r="O6" s="38" t="s"/>
      <c r="P6" s="39" t="s">
        <v>11</v>
      </c>
      <c r="Q6" s="38" t="s"/>
      <c r="R6" s="38" t="s"/>
      <c r="S6" s="38" t="s"/>
      <c r="T6" s="39" t="s">
        <v>12</v>
      </c>
      <c r="U6" s="40" t="s">
        <v>600</v>
      </c>
      <c r="V6" s="41" t="s">
        <v>13</v>
      </c>
    </row>
    <row r="7" spans="1:22" s="928" customFormat="1" ht="24" customHeight="1">
      <c r="A7" s="42" t="s"/>
      <c r="B7" s="42" t="s"/>
      <c r="C7" s="42" t="s"/>
      <c r="D7" s="42" t="s"/>
      <c r="E7" s="32" t="s">
        <v>14</v>
      </c>
      <c r="F7" s="43" t="s">
        <v>15</v>
      </c>
      <c r="G7" s="44" t="s"/>
      <c r="H7" s="43" t="s">
        <v>16</v>
      </c>
      <c r="I7" s="44" t="s"/>
      <c r="J7" s="45" t="s"/>
      <c r="K7" s="46" t="s"/>
      <c r="L7" s="47" t="s">
        <v>17</v>
      </c>
      <c r="M7" s="47" t="s">
        <v>18</v>
      </c>
      <c r="N7" s="48" t="s">
        <v>19</v>
      </c>
      <c r="O7" s="48" t="s">
        <v>20</v>
      </c>
      <c r="P7" s="48" t="s">
        <v>17</v>
      </c>
      <c r="Q7" s="48" t="s">
        <v>18</v>
      </c>
      <c r="R7" s="48" t="s">
        <v>19</v>
      </c>
      <c r="S7" s="48" t="s">
        <v>20</v>
      </c>
      <c r="T7" s="45" t="s"/>
      <c r="U7" s="45" t="s"/>
      <c r="V7" s="42" t="s"/>
    </row>
    <row r="8" spans="1:22" s="928" customFormat="1" ht="27" customHeight="1">
      <c r="A8" s="42" t="s"/>
      <c r="B8" s="42" t="s"/>
      <c r="C8" s="42" t="s"/>
      <c r="D8" s="42" t="s"/>
      <c r="E8" s="44" t="s"/>
      <c r="F8" s="47" t="s">
        <v>21</v>
      </c>
      <c r="G8" s="47" t="s">
        <v>22</v>
      </c>
      <c r="H8" s="47" t="s">
        <v>21</v>
      </c>
      <c r="I8" s="47" t="s">
        <v>22</v>
      </c>
      <c r="J8" s="45" t="s"/>
      <c r="K8" s="46" t="s"/>
      <c r="L8" s="49" t="s"/>
      <c r="M8" s="49" t="s"/>
      <c r="N8" s="50" t="s"/>
      <c r="O8" s="50" t="s"/>
      <c r="P8" s="50" t="s"/>
      <c r="Q8" s="50" t="s"/>
      <c r="R8" s="50" t="s"/>
      <c r="S8" s="50" t="s"/>
      <c r="T8" s="45" t="s"/>
      <c r="U8" s="45" t="s"/>
      <c r="V8" s="42" t="s"/>
    </row>
    <row r="9" spans="1:22" ht="38" customHeight="1">
      <c r="A9" s="51">
        <v>1</v>
      </c>
      <c r="B9" s="52" t="s">
        <v>23</v>
      </c>
      <c r="C9" s="53" t="s"/>
      <c r="D9" s="53" t="s"/>
      <c r="E9" s="52">
        <v>14</v>
      </c>
      <c r="F9" s="52" t="s">
        <v>24</v>
      </c>
      <c r="G9" s="52">
        <v>14</v>
      </c>
      <c r="H9" s="52" t="s">
        <v>25</v>
      </c>
      <c r="I9" s="52">
        <v>28</v>
      </c>
      <c r="J9" s="54" t="s"/>
      <c r="K9" s="55">
        <v>173</v>
      </c>
      <c r="L9" s="55">
        <v>11</v>
      </c>
      <c r="M9" s="55">
        <v>13</v>
      </c>
      <c r="N9" s="56">
        <v>15</v>
      </c>
      <c r="O9" s="56">
        <v>17</v>
      </c>
      <c r="P9" s="57" t="s">
        <v>26</v>
      </c>
      <c r="Q9" s="58" t="s">
        <v>27</v>
      </c>
      <c r="R9" s="59" t="s">
        <v>601</v>
      </c>
      <c r="S9" s="60" t="s">
        <v>28</v>
      </c>
      <c r="T9" s="60" t="s"/>
      <c r="U9" s="61">
        <v>280</v>
      </c>
      <c r="V9" s="62" t="s"/>
    </row>
    <row r="10" spans="1:22" s="931" customFormat="1" ht="37.5" customHeight="1">
      <c r="A10" s="63">
        <v>2</v>
      </c>
      <c r="B10" s="64" t="s">
        <v>29</v>
      </c>
      <c r="C10" s="65" t="s"/>
      <c r="D10" s="66" t="s">
        <v>30</v>
      </c>
      <c r="E10" s="67">
        <v>16</v>
      </c>
      <c r="F10" s="68" t="s">
        <v>31</v>
      </c>
      <c r="G10" s="67">
        <v>14</v>
      </c>
      <c r="H10" s="67" t="s">
        <v>32</v>
      </c>
      <c r="I10" s="67">
        <v>20</v>
      </c>
      <c r="J10" s="69" t="s"/>
      <c r="K10" s="70" t="s">
        <v>33</v>
      </c>
      <c r="L10" s="68">
        <v>10</v>
      </c>
      <c r="M10" s="67">
        <v>11</v>
      </c>
      <c r="N10" s="54">
        <v>13</v>
      </c>
      <c r="O10" s="58">
        <v>15</v>
      </c>
      <c r="P10" s="71" t="s">
        <v>34</v>
      </c>
      <c r="Q10" s="71" t="s">
        <v>35</v>
      </c>
      <c r="R10" s="71" t="s">
        <v>36</v>
      </c>
      <c r="S10" s="71" t="s">
        <v>37</v>
      </c>
      <c r="T10" s="72" t="s"/>
      <c r="U10" s="73">
        <v>128</v>
      </c>
      <c r="V10" s="74" t="s"/>
    </row>
    <row r="11" spans="1:22" s="931" customFormat="1" ht="36.75" customHeight="1">
      <c r="A11" s="75" t="s"/>
      <c r="B11" s="76" t="s"/>
      <c r="C11" s="76" t="s"/>
      <c r="D11" s="77" t="s">
        <v>38</v>
      </c>
      <c r="E11" s="77" t="s"/>
      <c r="F11" s="78" t="s"/>
      <c r="G11" s="77" t="s"/>
      <c r="H11" s="77" t="s"/>
      <c r="I11" s="77" t="s"/>
      <c r="J11" s="69" t="s"/>
      <c r="K11" s="79" t="s"/>
      <c r="L11" s="78" t="s"/>
      <c r="M11" s="77" t="s"/>
      <c r="N11" s="69" t="s"/>
      <c r="O11" s="57" t="s"/>
      <c r="P11" s="57" t="s">
        <v>39</v>
      </c>
      <c r="Q11" s="57" t="s">
        <v>40</v>
      </c>
      <c r="R11" s="57" t="s">
        <v>41</v>
      </c>
      <c r="S11" s="57" t="s">
        <v>42</v>
      </c>
      <c r="T11" s="57" t="s"/>
      <c r="U11" s="80">
        <v>176</v>
      </c>
      <c r="V11" s="72" t="s"/>
    </row>
    <row r="12" spans="1:22" s="931" customFormat="1" ht="38.25" customHeight="1">
      <c r="A12" s="81" t="s"/>
      <c r="B12" s="65" t="s"/>
      <c r="C12" s="65" t="s"/>
      <c r="D12" s="82" t="s">
        <v>43</v>
      </c>
      <c r="E12" s="65" t="s"/>
      <c r="F12" s="83" t="s"/>
      <c r="G12" s="65" t="s"/>
      <c r="H12" s="83" t="s"/>
      <c r="I12" s="65" t="s"/>
      <c r="J12" s="69" t="s"/>
      <c r="K12" s="84" t="s"/>
      <c r="L12" s="84" t="s"/>
      <c r="M12" s="65" t="s"/>
      <c r="N12" s="85" t="s"/>
      <c r="O12" s="86" t="s"/>
      <c r="P12" s="87" t="s">
        <v>44</v>
      </c>
      <c r="Q12" s="87" t="s">
        <v>45</v>
      </c>
      <c r="R12" s="88" t="s">
        <v>46</v>
      </c>
      <c r="S12" s="54" t="s">
        <v>47</v>
      </c>
      <c r="T12" s="69" t="s"/>
      <c r="U12" s="89">
        <v>256</v>
      </c>
      <c r="V12" s="90" t="s"/>
    </row>
    <row r="13" spans="1:22" ht="36.75" hidden="1" customHeight="1">
      <c r="A13" s="91">
        <v>3</v>
      </c>
      <c r="B13" s="92" t="s">
        <v>48</v>
      </c>
      <c r="C13" s="93" t="s"/>
      <c r="D13" s="94" t="s">
        <v>49</v>
      </c>
      <c r="E13" s="95">
        <v>19</v>
      </c>
      <c r="F13" s="95" t="s">
        <v>50</v>
      </c>
      <c r="G13" s="95">
        <v>16</v>
      </c>
      <c r="H13" s="95" t="s">
        <v>32</v>
      </c>
      <c r="I13" s="96">
        <v>24</v>
      </c>
      <c r="J13" s="97" t="s"/>
      <c r="K13" s="98" t="s">
        <v>51</v>
      </c>
      <c r="L13" s="95">
        <v>8</v>
      </c>
      <c r="M13" s="96">
        <v>10</v>
      </c>
      <c r="N13" s="99">
        <v>11</v>
      </c>
      <c r="O13" s="100">
        <v>12</v>
      </c>
      <c r="P13" s="100" t="s">
        <v>52</v>
      </c>
      <c r="Q13" s="100" t="s">
        <v>53</v>
      </c>
      <c r="R13" s="100" t="s">
        <v>54</v>
      </c>
      <c r="S13" s="100" t="s">
        <v>55</v>
      </c>
      <c r="T13" s="101" t="s"/>
      <c r="U13" s="102">
        <v>190</v>
      </c>
      <c r="V13" s="103" t="s"/>
    </row>
    <row r="14" spans="1:22" ht="36.75" hidden="1" customHeight="1">
      <c r="A14" s="104" t="s"/>
      <c r="B14" s="105" t="s"/>
      <c r="C14" s="106" t="s"/>
      <c r="D14" s="101" t="s">
        <v>56</v>
      </c>
      <c r="E14" s="107" t="s"/>
      <c r="F14" s="104" t="s"/>
      <c r="G14" s="107" t="s"/>
      <c r="H14" s="104" t="s"/>
      <c r="I14" s="107" t="s"/>
      <c r="J14" s="97" t="s"/>
      <c r="K14" s="98" t="s">
        <v>57</v>
      </c>
      <c r="L14" s="107" t="s"/>
      <c r="M14" s="107" t="s"/>
      <c r="N14" s="108" t="s"/>
      <c r="O14" s="108" t="s"/>
      <c r="P14" s="108" t="s"/>
      <c r="Q14" s="108" t="s"/>
      <c r="R14" s="108" t="s"/>
      <c r="S14" s="108" t="s"/>
      <c r="T14" s="101" t="s"/>
      <c r="U14" s="107" t="s"/>
      <c r="V14" s="104" t="s"/>
    </row>
    <row r="15" spans="1:22" ht="36.75" customHeight="1">
      <c r="A15" s="107" t="s"/>
      <c r="B15" s="109" t="s"/>
      <c r="C15" s="110" t="s"/>
      <c r="D15" s="101" t="s">
        <v>58</v>
      </c>
      <c r="E15" s="101" t="s">
        <v>59</v>
      </c>
      <c r="F15" s="107" t="s"/>
      <c r="G15" s="101" t="s">
        <v>60</v>
      </c>
      <c r="H15" s="107" t="s"/>
      <c r="I15" s="97" t="s">
        <v>61</v>
      </c>
      <c r="J15" s="97" t="s"/>
      <c r="K15" s="98" t="s">
        <v>62</v>
      </c>
      <c r="L15" s="101" t="s">
        <v>63</v>
      </c>
      <c r="M15" s="97" t="s">
        <v>64</v>
      </c>
      <c r="N15" s="87" t="s">
        <v>65</v>
      </c>
      <c r="O15" s="69" t="s">
        <v>66</v>
      </c>
      <c r="P15" s="69" t="s">
        <v>67</v>
      </c>
      <c r="Q15" s="69" t="s">
        <v>68</v>
      </c>
      <c r="R15" s="111" t="s">
        <v>602</v>
      </c>
      <c r="S15" s="69" t="s">
        <v>69</v>
      </c>
      <c r="T15" s="101" t="s"/>
      <c r="U15" s="112">
        <v>245</v>
      </c>
      <c r="V15" s="107" t="s"/>
    </row>
    <row r="16" spans="1:22" ht="33" customHeight="1">
      <c r="A16" s="113">
        <v>4</v>
      </c>
      <c r="B16" s="92" t="s">
        <v>70</v>
      </c>
      <c r="C16" s="93" t="s"/>
      <c r="D16" s="114" t="s">
        <v>71</v>
      </c>
      <c r="E16" s="94">
        <v>17</v>
      </c>
      <c r="F16" s="95" t="s">
        <v>50</v>
      </c>
      <c r="G16" s="101">
        <v>14</v>
      </c>
      <c r="H16" s="95" t="s">
        <v>72</v>
      </c>
      <c r="I16" s="97">
        <v>21</v>
      </c>
      <c r="J16" s="97" t="s"/>
      <c r="K16" s="95" t="s">
        <v>73</v>
      </c>
      <c r="L16" s="94">
        <v>9</v>
      </c>
      <c r="M16" s="114">
        <v>11</v>
      </c>
      <c r="N16" s="115">
        <v>12</v>
      </c>
      <c r="O16" s="115">
        <v>14</v>
      </c>
      <c r="P16" s="71" t="s">
        <v>74</v>
      </c>
      <c r="Q16" s="58" t="s">
        <v>75</v>
      </c>
      <c r="R16" s="116" t="s">
        <v>76</v>
      </c>
      <c r="S16" s="71" t="s">
        <v>77</v>
      </c>
      <c r="T16" s="117" t="s"/>
      <c r="U16" s="118">
        <v>238</v>
      </c>
      <c r="V16" s="103" t="s"/>
    </row>
    <row r="17" spans="1:22" ht="35.25" customHeight="1">
      <c r="A17" s="107" t="s"/>
      <c r="B17" s="109" t="s"/>
      <c r="C17" s="110" t="s"/>
      <c r="D17" s="114" t="s">
        <v>78</v>
      </c>
      <c r="E17" s="114">
        <v>16</v>
      </c>
      <c r="F17" s="107" t="s"/>
      <c r="G17" s="101">
        <v>13</v>
      </c>
      <c r="H17" s="107" t="s"/>
      <c r="I17" s="94">
        <v>20</v>
      </c>
      <c r="J17" s="97" t="s"/>
      <c r="K17" s="107" t="s"/>
      <c r="L17" s="114">
        <v>10</v>
      </c>
      <c r="M17" s="114">
        <v>11</v>
      </c>
      <c r="N17" s="54">
        <v>13</v>
      </c>
      <c r="O17" s="54">
        <v>15</v>
      </c>
      <c r="P17" s="87" t="s">
        <v>44</v>
      </c>
      <c r="Q17" s="87" t="s">
        <v>79</v>
      </c>
      <c r="R17" s="87" t="s">
        <v>80</v>
      </c>
      <c r="S17" s="87" t="s">
        <v>81</v>
      </c>
      <c r="T17" s="97" t="s"/>
      <c r="U17" s="119">
        <v>238</v>
      </c>
      <c r="V17" s="107" t="s"/>
    </row>
    <row r="18" spans="1:22" ht="52.5" customHeight="1">
      <c r="A18" s="120">
        <v>5</v>
      </c>
      <c r="B18" s="121" t="s">
        <v>82</v>
      </c>
      <c r="C18" s="122" t="s"/>
      <c r="D18" s="123" t="s"/>
      <c r="E18" s="117">
        <v>20</v>
      </c>
      <c r="F18" s="124" t="s">
        <v>83</v>
      </c>
      <c r="G18" s="97">
        <v>15</v>
      </c>
      <c r="H18" s="114" t="s">
        <v>32</v>
      </c>
      <c r="I18" s="97">
        <v>25</v>
      </c>
      <c r="J18" s="97" t="s"/>
      <c r="K18" s="117" t="s">
        <v>84</v>
      </c>
      <c r="L18" s="124">
        <v>8</v>
      </c>
      <c r="M18" s="117">
        <v>9</v>
      </c>
      <c r="N18" s="72">
        <v>10</v>
      </c>
      <c r="O18" s="72">
        <v>12</v>
      </c>
      <c r="P18" s="72" t="s">
        <v>85</v>
      </c>
      <c r="Q18" s="72" t="s">
        <v>86</v>
      </c>
      <c r="R18" s="59" t="s">
        <v>603</v>
      </c>
      <c r="S18" s="72" t="s">
        <v>87</v>
      </c>
      <c r="T18" s="117" t="s"/>
      <c r="U18" s="118">
        <v>240</v>
      </c>
      <c r="V18" s="125" t="s"/>
    </row>
    <row r="19" spans="1:22" s="932" customFormat="1" ht="39.75" customHeight="1">
      <c r="A19" s="113">
        <v>6</v>
      </c>
      <c r="B19" s="92" t="s">
        <v>88</v>
      </c>
      <c r="C19" s="93" t="s"/>
      <c r="D19" s="101" t="s">
        <v>89</v>
      </c>
      <c r="E19" s="126" t="s">
        <v>90</v>
      </c>
      <c r="F19" s="95" t="s">
        <v>24</v>
      </c>
      <c r="G19" s="126" t="s">
        <v>90</v>
      </c>
      <c r="H19" s="95" t="s">
        <v>24</v>
      </c>
      <c r="I19" s="126" t="s">
        <v>90</v>
      </c>
      <c r="J19" s="98" t="s"/>
      <c r="K19" s="95">
        <v>8</v>
      </c>
      <c r="L19" s="126">
        <v>3</v>
      </c>
      <c r="M19" s="126">
        <v>4</v>
      </c>
      <c r="N19" s="127">
        <v>4</v>
      </c>
      <c r="O19" s="127">
        <v>5</v>
      </c>
      <c r="P19" s="69" t="s">
        <v>91</v>
      </c>
      <c r="Q19" s="69" t="s">
        <v>92</v>
      </c>
      <c r="R19" s="69" t="s">
        <v>92</v>
      </c>
      <c r="S19" s="128" t="s">
        <v>93</v>
      </c>
      <c r="T19" s="129" t="s"/>
      <c r="U19" s="130">
        <v>224</v>
      </c>
      <c r="V19" s="103" t="s"/>
    </row>
    <row r="20" spans="1:22" s="932" customFormat="1" ht="39.75" customHeight="1">
      <c r="A20" s="107" t="s"/>
      <c r="B20" s="109" t="s"/>
      <c r="C20" s="110" t="s"/>
      <c r="D20" s="101" t="s">
        <v>94</v>
      </c>
      <c r="E20" s="107" t="s"/>
      <c r="F20" s="107" t="s"/>
      <c r="G20" s="107" t="s"/>
      <c r="H20" s="107" t="s"/>
      <c r="I20" s="107" t="s"/>
      <c r="J20" s="98" t="s"/>
      <c r="K20" s="107" t="s"/>
      <c r="L20" s="107" t="s"/>
      <c r="M20" s="107" t="s"/>
      <c r="N20" s="108" t="s"/>
      <c r="O20" s="108" t="s"/>
      <c r="P20" s="69" t="s">
        <v>95</v>
      </c>
      <c r="Q20" s="69" t="s">
        <v>79</v>
      </c>
      <c r="R20" s="88" t="s">
        <v>79</v>
      </c>
      <c r="S20" s="128" t="s">
        <v>96</v>
      </c>
      <c r="T20" s="129" t="s"/>
      <c r="U20" s="130">
        <v>224</v>
      </c>
      <c r="V20" s="107" t="s"/>
    </row>
    <row r="21" spans="1:22" s="932" customFormat="1" ht="50" customHeight="1">
      <c r="A21" s="91">
        <v>7</v>
      </c>
      <c r="B21" s="92" t="s">
        <v>97</v>
      </c>
      <c r="C21" s="93" t="s"/>
      <c r="D21" s="101" t="s">
        <v>89</v>
      </c>
      <c r="E21" s="131" t="s">
        <v>98</v>
      </c>
      <c r="F21" s="95" t="s">
        <v>24</v>
      </c>
      <c r="G21" s="131" t="s">
        <v>98</v>
      </c>
      <c r="H21" s="95" t="s">
        <v>32</v>
      </c>
      <c r="I21" s="126" t="s">
        <v>99</v>
      </c>
      <c r="J21" s="98" t="s"/>
      <c r="K21" s="98">
        <v>10</v>
      </c>
      <c r="L21" s="131">
        <v>3</v>
      </c>
      <c r="M21" s="126">
        <v>4</v>
      </c>
      <c r="N21" s="132">
        <v>4</v>
      </c>
      <c r="O21" s="127">
        <v>5</v>
      </c>
      <c r="P21" s="57" t="s">
        <v>100</v>
      </c>
      <c r="Q21" s="57" t="s">
        <v>101</v>
      </c>
      <c r="R21" s="72" t="s">
        <v>101</v>
      </c>
      <c r="S21" s="57" t="s">
        <v>102</v>
      </c>
      <c r="T21" s="98" t="s"/>
      <c r="U21" s="130">
        <v>204</v>
      </c>
      <c r="V21" s="103" t="s"/>
    </row>
    <row r="22" spans="1:22" s="932" customFormat="1" ht="50" hidden="1" customHeight="1">
      <c r="A22" s="107" t="s"/>
      <c r="B22" s="109" t="s"/>
      <c r="C22" s="110" t="s"/>
      <c r="D22" s="101" t="s">
        <v>103</v>
      </c>
      <c r="E22" s="107" t="s"/>
      <c r="F22" s="107" t="s"/>
      <c r="G22" s="107" t="s"/>
      <c r="H22" s="107" t="s"/>
      <c r="I22" s="107" t="s"/>
      <c r="J22" s="98" t="s"/>
      <c r="K22" s="98">
        <v>12</v>
      </c>
      <c r="L22" s="107" t="s"/>
      <c r="M22" s="107" t="s"/>
      <c r="N22" s="108" t="s"/>
      <c r="O22" s="108" t="s"/>
      <c r="P22" s="57" t="s">
        <v>104</v>
      </c>
      <c r="Q22" s="57" t="s">
        <v>105</v>
      </c>
      <c r="R22" s="57" t="s">
        <v>105</v>
      </c>
      <c r="S22" s="57" t="s">
        <v>41</v>
      </c>
      <c r="T22" s="98" t="s"/>
      <c r="U22" s="130">
        <v>204</v>
      </c>
      <c r="V22" s="107" t="s"/>
    </row>
    <row r="23" spans="1:22" ht="50.25" customHeight="1">
      <c r="A23" s="133">
        <v>8</v>
      </c>
      <c r="B23" s="134" t="s">
        <v>106</v>
      </c>
      <c r="C23" s="93" t="s"/>
      <c r="D23" s="114" t="s">
        <v>107</v>
      </c>
      <c r="E23" s="135">
        <v>17</v>
      </c>
      <c r="F23" s="135" t="s">
        <v>83</v>
      </c>
      <c r="G23" s="135">
        <v>13</v>
      </c>
      <c r="H23" s="135" t="s">
        <v>108</v>
      </c>
      <c r="I23" s="135">
        <v>22</v>
      </c>
      <c r="J23" s="101" t="s"/>
      <c r="K23" s="136" t="s">
        <v>109</v>
      </c>
      <c r="L23" s="136">
        <v>9</v>
      </c>
      <c r="M23" s="136">
        <v>11</v>
      </c>
      <c r="N23" s="127">
        <v>12</v>
      </c>
      <c r="O23" s="127">
        <v>14</v>
      </c>
      <c r="P23" s="87" t="s">
        <v>95</v>
      </c>
      <c r="Q23" s="87" t="s">
        <v>110</v>
      </c>
      <c r="R23" s="137" t="s">
        <v>39</v>
      </c>
      <c r="S23" s="72" t="s">
        <v>55</v>
      </c>
      <c r="T23" s="117" t="s"/>
      <c r="U23" s="130">
        <v>204</v>
      </c>
      <c r="V23" s="138" t="s"/>
    </row>
    <row r="24" spans="1:22" ht="42.75" customHeight="1">
      <c r="A24" s="104" t="s"/>
      <c r="B24" s="105" t="s"/>
      <c r="C24" s="106" t="s"/>
      <c r="D24" s="98" t="s">
        <v>111</v>
      </c>
      <c r="E24" s="104" t="s"/>
      <c r="F24" s="104" t="s"/>
      <c r="G24" s="104" t="s"/>
      <c r="H24" s="104" t="s"/>
      <c r="I24" s="104" t="s"/>
      <c r="J24" s="101" t="s"/>
      <c r="K24" s="104" t="s"/>
      <c r="L24" s="104" t="s"/>
      <c r="M24" s="104" t="s"/>
      <c r="N24" s="139" t="s"/>
      <c r="O24" s="139" t="s"/>
      <c r="P24" s="69" t="s">
        <v>76</v>
      </c>
      <c r="Q24" s="69" t="s">
        <v>80</v>
      </c>
      <c r="R24" s="57" t="s">
        <v>112</v>
      </c>
      <c r="S24" s="57" t="s">
        <v>113</v>
      </c>
      <c r="T24" s="98" t="s"/>
      <c r="U24" s="130">
        <v>176</v>
      </c>
      <c r="V24" s="104" t="s"/>
    </row>
    <row r="25" spans="1:22" ht="42.75" customHeight="1">
      <c r="A25" s="107" t="s"/>
      <c r="B25" s="109" t="s"/>
      <c r="C25" s="110" t="s"/>
      <c r="D25" s="124" t="s">
        <v>114</v>
      </c>
      <c r="E25" s="107" t="s"/>
      <c r="F25" s="107" t="s"/>
      <c r="G25" s="107" t="s"/>
      <c r="H25" s="107" t="s"/>
      <c r="I25" s="107" t="s"/>
      <c r="J25" s="101" t="s"/>
      <c r="K25" s="107" t="s"/>
      <c r="L25" s="107" t="s"/>
      <c r="M25" s="107" t="s"/>
      <c r="N25" s="108" t="s"/>
      <c r="O25" s="108" t="s"/>
      <c r="P25" s="54" t="s">
        <v>115</v>
      </c>
      <c r="Q25" s="54" t="s">
        <v>81</v>
      </c>
      <c r="R25" s="58" t="s">
        <v>41</v>
      </c>
      <c r="S25" s="58" t="s">
        <v>116</v>
      </c>
      <c r="T25" s="98" t="s"/>
      <c r="U25" s="130">
        <v>170</v>
      </c>
      <c r="V25" s="107" t="s"/>
    </row>
    <row r="26" spans="1:22" s="932" customFormat="1" ht="40.5" hidden="1" customHeight="1">
      <c r="A26" s="113">
        <v>9</v>
      </c>
      <c r="B26" s="92" t="s">
        <v>117</v>
      </c>
      <c r="C26" s="93" t="s"/>
      <c r="D26" s="114" t="s">
        <v>118</v>
      </c>
      <c r="E26" s="124" t="s">
        <v>119</v>
      </c>
      <c r="F26" s="95" t="s">
        <v>50</v>
      </c>
      <c r="G26" s="124" t="s">
        <v>120</v>
      </c>
      <c r="H26" s="95" t="s">
        <v>108</v>
      </c>
      <c r="I26" s="124" t="s">
        <v>121</v>
      </c>
      <c r="J26" s="98" t="s"/>
      <c r="K26" s="136" t="s">
        <v>122</v>
      </c>
      <c r="L26" s="114">
        <v>11</v>
      </c>
      <c r="M26" s="114">
        <v>12</v>
      </c>
      <c r="N26" s="54">
        <v>14</v>
      </c>
      <c r="O26" s="54">
        <v>16</v>
      </c>
      <c r="P26" s="54" t="s">
        <v>123</v>
      </c>
      <c r="Q26" s="54" t="s">
        <v>124</v>
      </c>
      <c r="R26" s="54" t="s">
        <v>76</v>
      </c>
      <c r="S26" s="71" t="s">
        <v>125</v>
      </c>
      <c r="T26" s="117" t="s"/>
      <c r="U26" s="118">
        <v>238</v>
      </c>
      <c r="V26" s="103" t="s"/>
    </row>
    <row r="27" spans="1:22" s="932" customFormat="1" ht="45" hidden="1" customHeight="1">
      <c r="A27" s="104" t="s"/>
      <c r="B27" s="105" t="s"/>
      <c r="C27" s="106" t="s"/>
      <c r="D27" s="114" t="s">
        <v>126</v>
      </c>
      <c r="E27" s="124" t="s">
        <v>127</v>
      </c>
      <c r="F27" s="104" t="s"/>
      <c r="G27" s="124" t="s">
        <v>128</v>
      </c>
      <c r="H27" s="104" t="s"/>
      <c r="I27" s="124" t="s">
        <v>129</v>
      </c>
      <c r="J27" s="98" t="s"/>
      <c r="K27" s="107" t="s"/>
      <c r="L27" s="114">
        <v>10</v>
      </c>
      <c r="M27" s="114">
        <v>12</v>
      </c>
      <c r="N27" s="54">
        <v>14</v>
      </c>
      <c r="O27" s="54">
        <v>16</v>
      </c>
      <c r="P27" s="54" t="s">
        <v>130</v>
      </c>
      <c r="Q27" s="54" t="s">
        <v>124</v>
      </c>
      <c r="R27" s="54" t="s">
        <v>76</v>
      </c>
      <c r="S27" s="71" t="s">
        <v>125</v>
      </c>
      <c r="T27" s="117" t="s"/>
      <c r="U27" s="118">
        <v>240</v>
      </c>
      <c r="V27" s="104" t="s"/>
    </row>
    <row r="28" spans="1:22" s="932" customFormat="1" ht="45.75" customHeight="1">
      <c r="A28" s="107" t="s"/>
      <c r="B28" s="109" t="s"/>
      <c r="C28" s="110" t="s"/>
      <c r="D28" s="94" t="s">
        <v>131</v>
      </c>
      <c r="E28" s="94">
        <v>14</v>
      </c>
      <c r="F28" s="107" t="s"/>
      <c r="G28" s="140">
        <v>11</v>
      </c>
      <c r="H28" s="107" t="s"/>
      <c r="I28" s="97">
        <v>18</v>
      </c>
      <c r="J28" s="97" t="s"/>
      <c r="K28" s="141" t="s">
        <v>132</v>
      </c>
      <c r="L28" s="94">
        <v>11</v>
      </c>
      <c r="M28" s="114">
        <v>13</v>
      </c>
      <c r="N28" s="115">
        <v>15</v>
      </c>
      <c r="O28" s="115">
        <v>17</v>
      </c>
      <c r="P28" s="71" t="s">
        <v>123</v>
      </c>
      <c r="Q28" s="71" t="s">
        <v>133</v>
      </c>
      <c r="R28" s="142" t="s">
        <v>134</v>
      </c>
      <c r="S28" s="71" t="s">
        <v>54</v>
      </c>
      <c r="T28" s="117" t="s"/>
      <c r="U28" s="118">
        <v>224</v>
      </c>
      <c r="V28" s="107" t="s"/>
    </row>
    <row r="29" spans="1:22" s="932" customFormat="1" ht="58.5" customHeight="1">
      <c r="A29" s="91">
        <v>10</v>
      </c>
      <c r="B29" s="134" t="s">
        <v>135</v>
      </c>
      <c r="C29" s="93" t="s"/>
      <c r="D29" s="101" t="s">
        <v>49</v>
      </c>
      <c r="E29" s="141">
        <v>18</v>
      </c>
      <c r="F29" s="136" t="s">
        <v>50</v>
      </c>
      <c r="G29" s="94">
        <v>14</v>
      </c>
      <c r="H29" s="135" t="s">
        <v>32</v>
      </c>
      <c r="I29" s="94">
        <v>23</v>
      </c>
      <c r="J29" s="94" t="s"/>
      <c r="K29" s="143" t="s">
        <v>136</v>
      </c>
      <c r="L29" s="141">
        <v>9</v>
      </c>
      <c r="M29" s="124">
        <v>10</v>
      </c>
      <c r="N29" s="71">
        <v>12</v>
      </c>
      <c r="O29" s="71">
        <v>13</v>
      </c>
      <c r="P29" s="72" t="s">
        <v>105</v>
      </c>
      <c r="Q29" s="54" t="s">
        <v>53</v>
      </c>
      <c r="R29" s="71" t="s">
        <v>34</v>
      </c>
      <c r="S29" s="72" t="s">
        <v>42</v>
      </c>
      <c r="T29" s="124" t="s"/>
      <c r="U29" s="130">
        <v>198</v>
      </c>
      <c r="V29" s="144" t="s"/>
    </row>
    <row r="30" spans="1:22" s="932" customFormat="1" ht="57" customHeight="1">
      <c r="A30" s="107" t="s"/>
      <c r="B30" s="109" t="s"/>
      <c r="C30" s="110" t="s"/>
      <c r="D30" s="101" t="s">
        <v>137</v>
      </c>
      <c r="E30" s="98" t="s">
        <v>138</v>
      </c>
      <c r="F30" s="107" t="s"/>
      <c r="G30" s="98" t="s">
        <v>139</v>
      </c>
      <c r="H30" s="107" t="s"/>
      <c r="I30" s="117" t="s">
        <v>140</v>
      </c>
      <c r="J30" s="97" t="s"/>
      <c r="K30" s="107" t="s"/>
      <c r="L30" s="98">
        <v>6</v>
      </c>
      <c r="M30" s="98">
        <v>7</v>
      </c>
      <c r="N30" s="72">
        <v>8</v>
      </c>
      <c r="O30" s="57">
        <v>9</v>
      </c>
      <c r="P30" s="57" t="s">
        <v>141</v>
      </c>
      <c r="Q30" s="69" t="s">
        <v>142</v>
      </c>
      <c r="R30" s="116" t="s">
        <v>134</v>
      </c>
      <c r="S30" s="57" t="s">
        <v>143</v>
      </c>
      <c r="T30" s="98" t="s"/>
      <c r="U30" s="130">
        <v>224</v>
      </c>
      <c r="V30" s="107" t="s"/>
    </row>
    <row r="31" spans="1:22" ht="33.75" customHeight="1">
      <c r="A31" s="91">
        <v>11</v>
      </c>
      <c r="B31" s="145" t="s">
        <v>144</v>
      </c>
      <c r="C31" s="93" t="s"/>
      <c r="D31" s="117" t="s">
        <v>49</v>
      </c>
      <c r="E31" s="146">
        <v>20</v>
      </c>
      <c r="F31" s="146" t="s">
        <v>83</v>
      </c>
      <c r="G31" s="96">
        <v>15</v>
      </c>
      <c r="H31" s="135" t="s">
        <v>108</v>
      </c>
      <c r="I31" s="146">
        <v>26</v>
      </c>
      <c r="J31" s="97" t="s"/>
      <c r="K31" s="147" t="s">
        <v>145</v>
      </c>
      <c r="L31" s="136">
        <v>8</v>
      </c>
      <c r="M31" s="143">
        <v>9</v>
      </c>
      <c r="N31" s="132">
        <v>10</v>
      </c>
      <c r="O31" s="127">
        <v>12</v>
      </c>
      <c r="P31" s="99" t="s">
        <v>95</v>
      </c>
      <c r="Q31" s="99" t="s">
        <v>46</v>
      </c>
      <c r="R31" s="148" t="s">
        <v>134</v>
      </c>
      <c r="S31" s="99" t="s">
        <v>146</v>
      </c>
      <c r="T31" s="97" t="s"/>
      <c r="U31" s="149">
        <v>220</v>
      </c>
      <c r="V31" s="103" t="s"/>
    </row>
    <row r="32" spans="1:22" ht="33.75" customHeight="1">
      <c r="A32" s="107" t="s"/>
      <c r="B32" s="109" t="s"/>
      <c r="C32" s="110" t="s"/>
      <c r="D32" s="117" t="s">
        <v>56</v>
      </c>
      <c r="E32" s="107" t="s"/>
      <c r="F32" s="107" t="s"/>
      <c r="G32" s="107" t="s"/>
      <c r="H32" s="107" t="s"/>
      <c r="I32" s="107" t="s"/>
      <c r="J32" s="97" t="s"/>
      <c r="K32" s="150" t="s">
        <v>147</v>
      </c>
      <c r="L32" s="107" t="s"/>
      <c r="M32" s="107" t="s"/>
      <c r="N32" s="108" t="s"/>
      <c r="O32" s="108" t="s"/>
      <c r="P32" s="108" t="s"/>
      <c r="Q32" s="108" t="s"/>
      <c r="R32" s="108" t="s"/>
      <c r="S32" s="108" t="s"/>
      <c r="T32" s="97" t="s"/>
      <c r="U32" s="107" t="s"/>
      <c r="V32" s="107" t="s"/>
    </row>
    <row r="33" spans="1:22" s="932" customFormat="1" ht="42.75" customHeight="1">
      <c r="A33" s="113">
        <v>12</v>
      </c>
      <c r="B33" s="92" t="s">
        <v>148</v>
      </c>
      <c r="C33" s="93" t="s"/>
      <c r="D33" s="97" t="s">
        <v>49</v>
      </c>
      <c r="E33" s="117">
        <v>24</v>
      </c>
      <c r="F33" s="126" t="s">
        <v>31</v>
      </c>
      <c r="G33" s="140">
        <v>22</v>
      </c>
      <c r="H33" s="95" t="s">
        <v>32</v>
      </c>
      <c r="I33" s="101">
        <v>30</v>
      </c>
      <c r="J33" s="101" t="s"/>
      <c r="K33" s="126" t="s">
        <v>149</v>
      </c>
      <c r="L33" s="117">
        <v>7</v>
      </c>
      <c r="M33" s="117">
        <v>8</v>
      </c>
      <c r="N33" s="72">
        <v>9</v>
      </c>
      <c r="O33" s="72">
        <v>10</v>
      </c>
      <c r="P33" s="57" t="s">
        <v>133</v>
      </c>
      <c r="Q33" s="69" t="s">
        <v>134</v>
      </c>
      <c r="R33" s="57" t="s">
        <v>54</v>
      </c>
      <c r="S33" s="151" t="s">
        <v>150</v>
      </c>
      <c r="T33" s="152" t="s"/>
      <c r="U33" s="119">
        <v>184</v>
      </c>
      <c r="V33" s="153" t="s"/>
    </row>
    <row r="34" spans="1:22" s="932" customFormat="1" ht="42.75" customHeight="1">
      <c r="A34" s="107" t="s"/>
      <c r="B34" s="109" t="s"/>
      <c r="C34" s="110" t="s"/>
      <c r="D34" s="101" t="s">
        <v>126</v>
      </c>
      <c r="E34" s="117" t="s">
        <v>151</v>
      </c>
      <c r="F34" s="107" t="s"/>
      <c r="G34" s="154" t="s">
        <v>152</v>
      </c>
      <c r="H34" s="107" t="s"/>
      <c r="I34" s="117" t="s">
        <v>153</v>
      </c>
      <c r="J34" s="117" t="s"/>
      <c r="K34" s="107" t="s"/>
      <c r="L34" s="117">
        <v>6</v>
      </c>
      <c r="M34" s="117">
        <v>7</v>
      </c>
      <c r="N34" s="72">
        <v>8</v>
      </c>
      <c r="O34" s="72">
        <v>10</v>
      </c>
      <c r="P34" s="57" t="s">
        <v>141</v>
      </c>
      <c r="Q34" s="69" t="s">
        <v>133</v>
      </c>
      <c r="R34" s="155" t="s">
        <v>134</v>
      </c>
      <c r="S34" s="151" t="s">
        <v>150</v>
      </c>
      <c r="T34" s="152" t="s"/>
      <c r="U34" s="119">
        <v>191</v>
      </c>
      <c r="V34" s="107" t="s"/>
    </row>
    <row r="35" spans="1:22" ht="75" customHeight="1">
      <c r="A35" s="120">
        <v>13</v>
      </c>
      <c r="B35" s="121" t="s">
        <v>154</v>
      </c>
      <c r="C35" s="122" t="s"/>
      <c r="D35" s="123" t="s"/>
      <c r="E35" s="101">
        <v>12</v>
      </c>
      <c r="F35" s="101" t="s">
        <v>50</v>
      </c>
      <c r="G35" s="101">
        <v>10</v>
      </c>
      <c r="H35" s="101" t="s">
        <v>32</v>
      </c>
      <c r="I35" s="97">
        <v>15</v>
      </c>
      <c r="J35" s="97" t="s"/>
      <c r="K35" s="98" t="s">
        <v>155</v>
      </c>
      <c r="L35" s="101">
        <v>13</v>
      </c>
      <c r="M35" s="101">
        <v>15</v>
      </c>
      <c r="N35" s="69">
        <v>17</v>
      </c>
      <c r="O35" s="69">
        <v>19</v>
      </c>
      <c r="P35" s="111" t="s">
        <v>156</v>
      </c>
      <c r="Q35" s="69" t="s">
        <v>46</v>
      </c>
      <c r="R35" s="156" t="s">
        <v>115</v>
      </c>
      <c r="S35" s="69" t="s">
        <v>81</v>
      </c>
      <c r="T35" s="101" t="s"/>
      <c r="U35" s="112">
        <v>216</v>
      </c>
      <c r="V35" s="157" t="s"/>
    </row>
    <row r="36" spans="1:22" ht="25" customHeight="1">
      <c r="A36" s="133">
        <v>14</v>
      </c>
      <c r="B36" s="134" t="s">
        <v>157</v>
      </c>
      <c r="C36" s="93" t="s"/>
      <c r="D36" s="114" t="s">
        <v>158</v>
      </c>
      <c r="E36" s="135">
        <v>29</v>
      </c>
      <c r="F36" s="135" t="s">
        <v>159</v>
      </c>
      <c r="G36" s="146">
        <v>25</v>
      </c>
      <c r="H36" s="135" t="s">
        <v>32</v>
      </c>
      <c r="I36" s="146">
        <v>36</v>
      </c>
      <c r="J36" s="97" t="s"/>
      <c r="K36" s="135" t="s">
        <v>160</v>
      </c>
      <c r="L36" s="143">
        <v>6</v>
      </c>
      <c r="M36" s="143">
        <v>7</v>
      </c>
      <c r="N36" s="127">
        <v>7</v>
      </c>
      <c r="O36" s="127">
        <v>8</v>
      </c>
      <c r="P36" s="71" t="s">
        <v>161</v>
      </c>
      <c r="Q36" s="54" t="s">
        <v>53</v>
      </c>
      <c r="R36" s="54" t="s">
        <v>53</v>
      </c>
      <c r="S36" s="58" t="s">
        <v>162</v>
      </c>
      <c r="T36" s="98" t="s"/>
      <c r="U36" s="130">
        <v>203</v>
      </c>
      <c r="V36" s="144" t="s"/>
    </row>
    <row r="37" spans="1:22" ht="25" customHeight="1">
      <c r="A37" s="107" t="s"/>
      <c r="B37" s="109" t="s"/>
      <c r="C37" s="110" t="s"/>
      <c r="D37" s="114" t="s">
        <v>49</v>
      </c>
      <c r="E37" s="107" t="s"/>
      <c r="F37" s="107" t="s"/>
      <c r="G37" s="107" t="s"/>
      <c r="H37" s="107" t="s"/>
      <c r="I37" s="107" t="s"/>
      <c r="J37" s="97" t="s"/>
      <c r="K37" s="107" t="s"/>
      <c r="L37" s="107" t="s"/>
      <c r="M37" s="107" t="s"/>
      <c r="N37" s="108" t="s"/>
      <c r="O37" s="108" t="s"/>
      <c r="P37" s="115" t="s">
        <v>112</v>
      </c>
      <c r="Q37" s="54" t="s">
        <v>93</v>
      </c>
      <c r="R37" s="58" t="s">
        <v>93</v>
      </c>
      <c r="S37" s="58" t="s">
        <v>163</v>
      </c>
      <c r="T37" s="98" t="s"/>
      <c r="U37" s="130">
        <v>174</v>
      </c>
      <c r="V37" s="107" t="s"/>
    </row>
    <row r="38" spans="1:22" ht="38.25" customHeight="1">
      <c r="A38" s="120">
        <v>15</v>
      </c>
      <c r="B38" s="121" t="s">
        <v>164</v>
      </c>
      <c r="C38" s="122" t="s"/>
      <c r="D38" s="123" t="s"/>
      <c r="E38" s="101">
        <v>15</v>
      </c>
      <c r="F38" s="94" t="s">
        <v>83</v>
      </c>
      <c r="G38" s="101">
        <v>11</v>
      </c>
      <c r="H38" s="101" t="s">
        <v>108</v>
      </c>
      <c r="I38" s="101">
        <v>20</v>
      </c>
      <c r="J38" s="101" t="s"/>
      <c r="K38" s="101" t="s">
        <v>165</v>
      </c>
      <c r="L38" s="101">
        <v>10</v>
      </c>
      <c r="M38" s="101">
        <v>12</v>
      </c>
      <c r="N38" s="69">
        <v>14</v>
      </c>
      <c r="O38" s="69">
        <v>15</v>
      </c>
      <c r="P38" s="69" t="s">
        <v>166</v>
      </c>
      <c r="Q38" s="69" t="s">
        <v>110</v>
      </c>
      <c r="R38" s="88" t="s">
        <v>167</v>
      </c>
      <c r="S38" s="69" t="s">
        <v>168</v>
      </c>
      <c r="T38" s="101" t="s"/>
      <c r="U38" s="112">
        <v>210</v>
      </c>
      <c r="V38" s="125" t="s"/>
    </row>
    <row r="39" spans="1:22" ht="39.75" customHeight="1">
      <c r="A39" s="158">
        <v>16</v>
      </c>
      <c r="B39" s="159" t="s">
        <v>169</v>
      </c>
      <c r="C39" s="123" t="s"/>
      <c r="D39" s="94" t="s">
        <v>49</v>
      </c>
      <c r="E39" s="114">
        <v>21</v>
      </c>
      <c r="F39" s="114" t="s">
        <v>50</v>
      </c>
      <c r="G39" s="114">
        <v>18</v>
      </c>
      <c r="H39" s="114" t="s">
        <v>32</v>
      </c>
      <c r="I39" s="114">
        <v>26</v>
      </c>
      <c r="J39" s="101" t="s"/>
      <c r="K39" s="124" t="s">
        <v>170</v>
      </c>
      <c r="L39" s="124">
        <v>8</v>
      </c>
      <c r="M39" s="124">
        <v>9</v>
      </c>
      <c r="N39" s="58">
        <v>10</v>
      </c>
      <c r="O39" s="58">
        <v>11</v>
      </c>
      <c r="P39" s="69" t="s">
        <v>133</v>
      </c>
      <c r="Q39" s="69" t="s">
        <v>171</v>
      </c>
      <c r="R39" s="88" t="s">
        <v>77</v>
      </c>
      <c r="S39" s="69" t="s">
        <v>146</v>
      </c>
      <c r="T39" s="101" t="s"/>
      <c r="U39" s="112">
        <v>210</v>
      </c>
      <c r="V39" s="160" t="s"/>
    </row>
    <row r="40" spans="1:22" ht="79.5" customHeight="1">
      <c r="A40" s="161">
        <v>17</v>
      </c>
      <c r="B40" s="77" t="s">
        <v>172</v>
      </c>
      <c r="C40" s="65" t="s"/>
      <c r="D40" s="65" t="s"/>
      <c r="E40" s="162">
        <v>16</v>
      </c>
      <c r="F40" s="163" t="s">
        <v>31</v>
      </c>
      <c r="G40" s="164">
        <v>14</v>
      </c>
      <c r="H40" s="165" t="s">
        <v>32</v>
      </c>
      <c r="I40" s="164">
        <v>20</v>
      </c>
      <c r="J40" s="87" t="s"/>
      <c r="K40" s="162" t="s">
        <v>173</v>
      </c>
      <c r="L40" s="164">
        <v>10</v>
      </c>
      <c r="M40" s="164">
        <v>11</v>
      </c>
      <c r="N40" s="87">
        <v>13</v>
      </c>
      <c r="O40" s="87">
        <v>15</v>
      </c>
      <c r="P40" s="72" t="s">
        <v>174</v>
      </c>
      <c r="Q40" s="72" t="s">
        <v>175</v>
      </c>
      <c r="R40" s="166" t="s">
        <v>604</v>
      </c>
      <c r="S40" s="72" t="s">
        <v>176</v>
      </c>
      <c r="T40" s="72" t="s"/>
      <c r="U40" s="73">
        <v>208</v>
      </c>
      <c r="V40" s="167" t="s"/>
    </row>
    <row r="41" spans="1:22" ht="39.75" customHeight="1">
      <c r="A41" s="168">
        <v>18</v>
      </c>
      <c r="B41" s="67" t="s">
        <v>177</v>
      </c>
      <c r="C41" s="169" t="s"/>
      <c r="D41" s="82" t="s">
        <v>49</v>
      </c>
      <c r="E41" s="67">
        <v>16</v>
      </c>
      <c r="F41" s="67" t="s">
        <v>50</v>
      </c>
      <c r="G41" s="67">
        <v>13</v>
      </c>
      <c r="H41" s="67" t="s">
        <v>72</v>
      </c>
      <c r="I41" s="66">
        <v>20</v>
      </c>
      <c r="J41" s="87" t="s"/>
      <c r="K41" s="68" t="s">
        <v>178</v>
      </c>
      <c r="L41" s="68">
        <v>10</v>
      </c>
      <c r="M41" s="68">
        <v>11</v>
      </c>
      <c r="N41" s="58">
        <v>13</v>
      </c>
      <c r="O41" s="58">
        <v>15</v>
      </c>
      <c r="P41" s="87" t="s">
        <v>75</v>
      </c>
      <c r="Q41" s="87" t="s">
        <v>179</v>
      </c>
      <c r="R41" s="137" t="s">
        <v>180</v>
      </c>
      <c r="S41" s="69" t="s">
        <v>35</v>
      </c>
      <c r="T41" s="69" t="s"/>
      <c r="U41" s="89">
        <v>208</v>
      </c>
      <c r="V41" s="170" t="s"/>
    </row>
    <row r="42" spans="1:22" ht="39.75" customHeight="1">
      <c r="A42" s="169" t="s"/>
      <c r="B42" s="169" t="s"/>
      <c r="C42" s="169" t="s"/>
      <c r="D42" s="66" t="s">
        <v>56</v>
      </c>
      <c r="E42" s="169" t="s"/>
      <c r="F42" s="169" t="s"/>
      <c r="G42" s="169" t="s"/>
      <c r="H42" s="169" t="s"/>
      <c r="I42" s="169" t="s"/>
      <c r="J42" s="87" t="s"/>
      <c r="K42" s="68" t="s">
        <v>181</v>
      </c>
      <c r="L42" s="169" t="s"/>
      <c r="M42" s="169" t="s"/>
      <c r="N42" s="171" t="s"/>
      <c r="O42" s="171" t="s"/>
      <c r="P42" s="171" t="s"/>
      <c r="Q42" s="171" t="s"/>
      <c r="R42" s="171" t="s"/>
      <c r="S42" s="171" t="s"/>
      <c r="T42" s="69" t="s"/>
      <c r="U42" s="45" t="s"/>
      <c r="V42" s="169" t="s"/>
    </row>
    <row r="43" spans="1:22" s="931" customFormat="1" ht="36" customHeight="1">
      <c r="A43" s="161">
        <v>19</v>
      </c>
      <c r="B43" s="77" t="s">
        <v>182</v>
      </c>
      <c r="C43" s="45" t="s"/>
      <c r="D43" s="66" t="s">
        <v>183</v>
      </c>
      <c r="E43" s="164">
        <v>50</v>
      </c>
      <c r="F43" s="52" t="s">
        <v>31</v>
      </c>
      <c r="G43" s="164">
        <v>45</v>
      </c>
      <c r="H43" s="52" t="s">
        <v>184</v>
      </c>
      <c r="I43" s="162" t="s">
        <v>185</v>
      </c>
      <c r="J43" s="72" t="s"/>
      <c r="K43" s="163" t="s">
        <v>186</v>
      </c>
      <c r="L43" s="164">
        <v>3</v>
      </c>
      <c r="M43" s="52">
        <v>4</v>
      </c>
      <c r="N43" s="87">
        <v>4</v>
      </c>
      <c r="O43" s="54">
        <v>5</v>
      </c>
      <c r="P43" s="99" t="s">
        <v>52</v>
      </c>
      <c r="Q43" s="100" t="s">
        <v>41</v>
      </c>
      <c r="R43" s="172" t="s">
        <v>41</v>
      </c>
      <c r="S43" s="100" t="s">
        <v>187</v>
      </c>
      <c r="T43" s="69" t="s"/>
      <c r="U43" s="89">
        <v>150</v>
      </c>
      <c r="V43" s="173" t="s"/>
    </row>
    <row r="44" spans="1:22" s="931" customFormat="1" ht="36" customHeight="1">
      <c r="A44" s="45" t="s"/>
      <c r="B44" s="45" t="s"/>
      <c r="C44" s="45" t="s"/>
      <c r="D44" s="77" t="s">
        <v>56</v>
      </c>
      <c r="E44" s="45" t="s"/>
      <c r="F44" s="45" t="s"/>
      <c r="G44" s="45" t="s"/>
      <c r="H44" s="45" t="s"/>
      <c r="I44" s="45" t="s"/>
      <c r="J44" s="72" t="s"/>
      <c r="K44" s="174" t="s">
        <v>188</v>
      </c>
      <c r="L44" s="45" t="s"/>
      <c r="M44" s="45" t="s"/>
      <c r="N44" s="45" t="s"/>
      <c r="O44" s="45" t="s"/>
      <c r="P44" s="108" t="s"/>
      <c r="Q44" s="108" t="s"/>
      <c r="R44" s="108" t="s"/>
      <c r="S44" s="108" t="s"/>
      <c r="T44" s="69" t="s"/>
      <c r="U44" s="45" t="s"/>
      <c r="V44" s="45" t="s"/>
    </row>
    <row r="45" spans="1:22" s="932" customFormat="1" ht="42.75" customHeight="1">
      <c r="A45" s="175">
        <v>20</v>
      </c>
      <c r="B45" s="69" t="s">
        <v>189</v>
      </c>
      <c r="C45" s="85" t="s"/>
      <c r="D45" s="87" t="s">
        <v>49</v>
      </c>
      <c r="E45" s="87">
        <v>21</v>
      </c>
      <c r="F45" s="176" t="s">
        <v>83</v>
      </c>
      <c r="G45" s="87">
        <v>16</v>
      </c>
      <c r="H45" s="176" t="s">
        <v>190</v>
      </c>
      <c r="I45" s="87">
        <v>29</v>
      </c>
      <c r="J45" s="87" t="s"/>
      <c r="K45" s="72" t="s">
        <v>191</v>
      </c>
      <c r="L45" s="87">
        <v>8</v>
      </c>
      <c r="M45" s="87">
        <v>9</v>
      </c>
      <c r="N45" s="87">
        <v>10</v>
      </c>
      <c r="O45" s="87">
        <v>11</v>
      </c>
      <c r="P45" s="87" t="s">
        <v>115</v>
      </c>
      <c r="Q45" s="87" t="s">
        <v>162</v>
      </c>
      <c r="R45" s="137" t="s">
        <v>35</v>
      </c>
      <c r="S45" s="87" t="s">
        <v>192</v>
      </c>
      <c r="T45" s="69" t="s">
        <v>193</v>
      </c>
      <c r="U45" s="177">
        <v>168</v>
      </c>
      <c r="V45" s="178" t="s"/>
    </row>
    <row r="46" spans="1:22" s="932" customFormat="1" ht="57.75" customHeight="1">
      <c r="A46" s="179" t="s"/>
      <c r="B46" s="85" t="s"/>
      <c r="C46" s="85" t="s"/>
      <c r="D46" s="87" t="s">
        <v>194</v>
      </c>
      <c r="E46" s="180" t="s">
        <v>605</v>
      </c>
      <c r="F46" s="171" t="s"/>
      <c r="G46" s="171" t="s"/>
      <c r="H46" s="171" t="s"/>
      <c r="I46" s="171" t="s"/>
      <c r="J46" s="69" t="s">
        <v>193</v>
      </c>
      <c r="K46" s="72" t="s">
        <v>195</v>
      </c>
      <c r="L46" s="176" t="s">
        <v>193</v>
      </c>
      <c r="M46" s="176" t="s">
        <v>193</v>
      </c>
      <c r="N46" s="176" t="s">
        <v>193</v>
      </c>
      <c r="O46" s="176" t="s">
        <v>193</v>
      </c>
      <c r="P46" s="87" t="s">
        <v>193</v>
      </c>
      <c r="Q46" s="176" t="s">
        <v>193</v>
      </c>
      <c r="R46" s="69" t="s">
        <v>193</v>
      </c>
      <c r="S46" s="69" t="s">
        <v>193</v>
      </c>
      <c r="T46" s="69" t="s">
        <v>193</v>
      </c>
      <c r="U46" s="177" t="s">
        <v>193</v>
      </c>
      <c r="V46" s="181" t="s"/>
    </row>
    <row r="47" spans="1:22" ht="36.75" customHeight="1">
      <c r="A47" s="91">
        <v>21</v>
      </c>
      <c r="B47" s="182" t="s">
        <v>196</v>
      </c>
      <c r="C47" s="93" t="s"/>
      <c r="D47" s="114" t="s">
        <v>197</v>
      </c>
      <c r="E47" s="143" t="s">
        <v>198</v>
      </c>
      <c r="F47" s="136" t="s">
        <v>159</v>
      </c>
      <c r="G47" s="143" t="s">
        <v>199</v>
      </c>
      <c r="H47" s="95" t="s">
        <v>190</v>
      </c>
      <c r="I47" s="143" t="s">
        <v>200</v>
      </c>
      <c r="J47" s="131" t="s"/>
      <c r="K47" s="136" t="s">
        <v>201</v>
      </c>
      <c r="L47" s="141">
        <v>3</v>
      </c>
      <c r="M47" s="124">
        <v>4</v>
      </c>
      <c r="N47" s="71">
        <v>4</v>
      </c>
      <c r="O47" s="71">
        <v>5</v>
      </c>
      <c r="P47" s="72" t="s">
        <v>92</v>
      </c>
      <c r="Q47" s="54" t="s">
        <v>202</v>
      </c>
      <c r="R47" s="183" t="s">
        <v>202</v>
      </c>
      <c r="S47" s="71" t="s">
        <v>203</v>
      </c>
      <c r="T47" s="131" t="s">
        <v>204</v>
      </c>
      <c r="U47" s="184">
        <v>173</v>
      </c>
      <c r="V47" s="153" t="s"/>
    </row>
    <row r="48" spans="1:22" ht="38.25" customHeight="1">
      <c r="A48" s="104" t="s"/>
      <c r="B48" s="105" t="s"/>
      <c r="C48" s="106" t="s"/>
      <c r="D48" s="114" t="s">
        <v>49</v>
      </c>
      <c r="E48" s="107" t="s"/>
      <c r="F48" s="107" t="s"/>
      <c r="G48" s="107" t="s"/>
      <c r="H48" s="107" t="s"/>
      <c r="I48" s="107" t="s"/>
      <c r="J48" s="104" t="s"/>
      <c r="K48" s="104" t="s"/>
      <c r="L48" s="141">
        <v>3</v>
      </c>
      <c r="M48" s="141">
        <v>4</v>
      </c>
      <c r="N48" s="71">
        <v>4</v>
      </c>
      <c r="O48" s="71">
        <v>5</v>
      </c>
      <c r="P48" s="72" t="s">
        <v>92</v>
      </c>
      <c r="Q48" s="54" t="s">
        <v>202</v>
      </c>
      <c r="R48" s="57" t="s">
        <v>202</v>
      </c>
      <c r="S48" s="72" t="s">
        <v>203</v>
      </c>
      <c r="T48" s="104" t="s"/>
      <c r="U48" s="112">
        <v>153</v>
      </c>
      <c r="V48" s="104" t="s"/>
    </row>
    <row r="49" spans="1:22" ht="52.5" customHeight="1">
      <c r="A49" s="107" t="s"/>
      <c r="B49" s="109" t="s"/>
      <c r="C49" s="110" t="s"/>
      <c r="D49" s="101" t="s">
        <v>205</v>
      </c>
      <c r="E49" s="117" t="s">
        <v>206</v>
      </c>
      <c r="F49" s="98" t="s">
        <v>24</v>
      </c>
      <c r="G49" s="117" t="s">
        <v>206</v>
      </c>
      <c r="H49" s="101" t="s">
        <v>32</v>
      </c>
      <c r="I49" s="117" t="s">
        <v>207</v>
      </c>
      <c r="J49" s="107" t="s"/>
      <c r="K49" s="107" t="s"/>
      <c r="L49" s="117">
        <v>3</v>
      </c>
      <c r="M49" s="117">
        <v>4</v>
      </c>
      <c r="N49" s="72">
        <v>4</v>
      </c>
      <c r="O49" s="71">
        <v>5</v>
      </c>
      <c r="P49" s="57" t="s">
        <v>92</v>
      </c>
      <c r="Q49" s="69" t="s">
        <v>202</v>
      </c>
      <c r="R49" s="57" t="s">
        <v>202</v>
      </c>
      <c r="S49" s="57" t="s">
        <v>203</v>
      </c>
      <c r="T49" s="107" t="s"/>
      <c r="U49" s="112">
        <v>168</v>
      </c>
      <c r="V49" s="107" t="s"/>
    </row>
    <row r="50" spans="1:22" ht="50.25" customHeight="1">
      <c r="A50" s="91">
        <v>22</v>
      </c>
      <c r="B50" s="185" t="s">
        <v>208</v>
      </c>
      <c r="C50" s="93" t="s"/>
      <c r="D50" s="94" t="s">
        <v>209</v>
      </c>
      <c r="E50" s="143">
        <v>60</v>
      </c>
      <c r="F50" s="135" t="s">
        <v>50</v>
      </c>
      <c r="G50" s="135">
        <v>48</v>
      </c>
      <c r="H50" s="95" t="s">
        <v>210</v>
      </c>
      <c r="I50" s="146">
        <v>90</v>
      </c>
      <c r="J50" s="97" t="s"/>
      <c r="K50" s="186" t="s">
        <v>211</v>
      </c>
      <c r="L50" s="146">
        <v>3</v>
      </c>
      <c r="M50" s="146">
        <v>3</v>
      </c>
      <c r="N50" s="99">
        <v>4</v>
      </c>
      <c r="O50" s="99">
        <v>4</v>
      </c>
      <c r="P50" s="72" t="s">
        <v>212</v>
      </c>
      <c r="Q50" s="72" t="s">
        <v>212</v>
      </c>
      <c r="R50" s="72" t="s">
        <v>213</v>
      </c>
      <c r="S50" s="72" t="s">
        <v>213</v>
      </c>
      <c r="T50" s="117" t="s"/>
      <c r="U50" s="102">
        <v>120</v>
      </c>
      <c r="V50" s="187" t="s">
        <v>606</v>
      </c>
    </row>
    <row r="51" spans="1:22" ht="50.25" customHeight="1">
      <c r="A51" s="104" t="s"/>
      <c r="B51" s="105" t="s"/>
      <c r="C51" s="106" t="s"/>
      <c r="D51" s="188" t="s">
        <v>607</v>
      </c>
      <c r="E51" s="107" t="s"/>
      <c r="F51" s="104" t="s"/>
      <c r="G51" s="107" t="s"/>
      <c r="H51" s="104" t="s"/>
      <c r="I51" s="107" t="s"/>
      <c r="J51" s="97" t="s"/>
      <c r="K51" s="104" t="s"/>
      <c r="L51" s="107" t="s"/>
      <c r="M51" s="107" t="s"/>
      <c r="N51" s="108" t="s"/>
      <c r="O51" s="108" t="s"/>
      <c r="P51" s="72" t="s">
        <v>96</v>
      </c>
      <c r="Q51" s="72" t="s">
        <v>96</v>
      </c>
      <c r="R51" s="72" t="s">
        <v>214</v>
      </c>
      <c r="S51" s="72" t="s">
        <v>214</v>
      </c>
      <c r="T51" s="117" t="s"/>
      <c r="U51" s="107" t="s"/>
      <c r="V51" s="104" t="s"/>
    </row>
    <row r="52" spans="1:22" ht="54.75" customHeight="1">
      <c r="A52" s="104" t="s"/>
      <c r="B52" s="105" t="s"/>
      <c r="C52" s="106" t="s"/>
      <c r="D52" s="141" t="s">
        <v>215</v>
      </c>
      <c r="E52" s="143" t="s">
        <v>216</v>
      </c>
      <c r="F52" s="104" t="s"/>
      <c r="G52" s="143" t="s">
        <v>217</v>
      </c>
      <c r="H52" s="104" t="s"/>
      <c r="I52" s="143" t="s">
        <v>218</v>
      </c>
      <c r="J52" s="117" t="s"/>
      <c r="K52" s="104" t="s"/>
      <c r="L52" s="146">
        <v>2</v>
      </c>
      <c r="M52" s="146">
        <v>3</v>
      </c>
      <c r="N52" s="99">
        <v>3</v>
      </c>
      <c r="O52" s="99">
        <v>3</v>
      </c>
      <c r="P52" s="87" t="s">
        <v>39</v>
      </c>
      <c r="Q52" s="115" t="s">
        <v>212</v>
      </c>
      <c r="R52" s="115" t="s">
        <v>212</v>
      </c>
      <c r="S52" s="71" t="s">
        <v>212</v>
      </c>
      <c r="T52" s="117" t="s"/>
      <c r="U52" s="102">
        <v>150</v>
      </c>
      <c r="V52" s="104" t="s"/>
    </row>
    <row r="53" spans="1:22" ht="54.75" customHeight="1">
      <c r="A53" s="107" t="s"/>
      <c r="B53" s="109" t="s"/>
      <c r="C53" s="110" t="s"/>
      <c r="D53" s="188" t="s">
        <v>608</v>
      </c>
      <c r="E53" s="107" t="s"/>
      <c r="F53" s="107" t="s"/>
      <c r="G53" s="107" t="s"/>
      <c r="H53" s="107" t="s"/>
      <c r="I53" s="107" t="s"/>
      <c r="J53" s="117" t="s"/>
      <c r="K53" s="107" t="s"/>
      <c r="L53" s="107" t="s"/>
      <c r="M53" s="107" t="s"/>
      <c r="N53" s="108" t="s"/>
      <c r="O53" s="108" t="s"/>
      <c r="P53" s="87" t="s">
        <v>95</v>
      </c>
      <c r="Q53" s="72" t="s">
        <v>96</v>
      </c>
      <c r="R53" s="116" t="s">
        <v>96</v>
      </c>
      <c r="S53" s="72" t="s">
        <v>96</v>
      </c>
      <c r="T53" s="117" t="s"/>
      <c r="U53" s="107" t="s"/>
      <c r="V53" s="107" t="s"/>
    </row>
    <row r="54" spans="1:22" s="932" customFormat="1" ht="44.25" customHeight="1">
      <c r="A54" s="91">
        <v>23</v>
      </c>
      <c r="B54" s="92" t="s">
        <v>219</v>
      </c>
      <c r="C54" s="93" t="s"/>
      <c r="D54" s="94" t="s">
        <v>220</v>
      </c>
      <c r="E54" s="95">
        <v>33</v>
      </c>
      <c r="F54" s="95" t="s">
        <v>83</v>
      </c>
      <c r="G54" s="95">
        <v>25</v>
      </c>
      <c r="H54" s="95" t="s">
        <v>221</v>
      </c>
      <c r="I54" s="95">
        <v>48</v>
      </c>
      <c r="J54" s="101" t="s"/>
      <c r="K54" s="126" t="s">
        <v>222</v>
      </c>
      <c r="L54" s="95">
        <v>5</v>
      </c>
      <c r="M54" s="95">
        <v>6</v>
      </c>
      <c r="N54" s="100">
        <v>7</v>
      </c>
      <c r="O54" s="100">
        <v>7</v>
      </c>
      <c r="P54" s="69" t="s">
        <v>112</v>
      </c>
      <c r="Q54" s="69" t="s">
        <v>223</v>
      </c>
      <c r="R54" s="183" t="s">
        <v>224</v>
      </c>
      <c r="S54" s="69" t="s">
        <v>224</v>
      </c>
      <c r="T54" s="101" t="s"/>
      <c r="U54" s="112">
        <v>165</v>
      </c>
      <c r="V54" s="189" t="s"/>
    </row>
    <row r="55" spans="1:22" s="932" customFormat="1" ht="44.25" customHeight="1">
      <c r="A55" s="190" t="s"/>
      <c r="B55" s="191" t="s"/>
      <c r="C55" s="192" t="s"/>
      <c r="D55" s="193" t="s">
        <v>609</v>
      </c>
      <c r="E55" s="194" t="s"/>
      <c r="F55" s="195" t="s"/>
      <c r="G55" s="194" t="s"/>
      <c r="H55" s="195" t="s"/>
      <c r="I55" s="194" t="s"/>
      <c r="J55" s="69" t="s"/>
      <c r="K55" s="196" t="s"/>
      <c r="L55" s="195" t="s"/>
      <c r="M55" s="194" t="s"/>
      <c r="N55" s="194" t="s"/>
      <c r="O55" s="195" t="s"/>
      <c r="P55" s="69" t="s">
        <v>76</v>
      </c>
      <c r="Q55" s="69" t="s">
        <v>168</v>
      </c>
      <c r="R55" s="151" t="s">
        <v>113</v>
      </c>
      <c r="S55" s="151" t="s">
        <v>113</v>
      </c>
      <c r="T55" s="69" t="s"/>
      <c r="U55" s="89">
        <v>165</v>
      </c>
      <c r="V55" s="197" t="s"/>
    </row>
    <row r="56" spans="1:22" s="932" customFormat="1" ht="38.5" hidden="1" customHeight="1">
      <c r="A56" s="107" t="s"/>
      <c r="B56" s="109" t="s"/>
      <c r="C56" s="110" t="s"/>
      <c r="D56" s="101" t="s">
        <v>137</v>
      </c>
      <c r="E56" s="107" t="s"/>
      <c r="F56" s="107" t="s"/>
      <c r="G56" s="107" t="s"/>
      <c r="H56" s="107" t="s"/>
      <c r="I56" s="107" t="s"/>
      <c r="J56" s="101" t="s"/>
      <c r="K56" s="107" t="s"/>
      <c r="L56" s="107" t="s"/>
      <c r="M56" s="107" t="s"/>
      <c r="N56" s="108" t="s"/>
      <c r="O56" s="108" t="s"/>
      <c r="P56" s="69" t="s">
        <v>134</v>
      </c>
      <c r="Q56" s="69" t="s">
        <v>134</v>
      </c>
      <c r="R56" s="87" t="s">
        <v>225</v>
      </c>
      <c r="S56" s="69" t="s">
        <v>202</v>
      </c>
      <c r="T56" s="101" t="s"/>
      <c r="U56" s="112">
        <v>222</v>
      </c>
      <c r="V56" s="107" t="s"/>
    </row>
    <row r="57" spans="1:22" s="933" ht="57.75" customHeight="1">
      <c r="A57" s="198">
        <v>24</v>
      </c>
      <c r="B57" s="94" t="s">
        <v>226</v>
      </c>
      <c r="C57" s="199" t="s"/>
      <c r="D57" s="200" t="s">
        <v>89</v>
      </c>
      <c r="E57" s="141" t="s">
        <v>227</v>
      </c>
      <c r="F57" s="200" t="s">
        <v>24</v>
      </c>
      <c r="G57" s="141" t="s">
        <v>227</v>
      </c>
      <c r="H57" s="114" t="s">
        <v>24</v>
      </c>
      <c r="I57" s="141" t="s">
        <v>227</v>
      </c>
      <c r="J57" s="72" t="s"/>
      <c r="K57" s="147">
        <v>5</v>
      </c>
      <c r="L57" s="147">
        <v>2</v>
      </c>
      <c r="M57" s="147">
        <v>2</v>
      </c>
      <c r="N57" s="147">
        <v>3</v>
      </c>
      <c r="O57" s="147">
        <v>3</v>
      </c>
      <c r="P57" s="200" t="s">
        <v>133</v>
      </c>
      <c r="Q57" s="200" t="s">
        <v>133</v>
      </c>
      <c r="R57" s="201" t="s">
        <v>228</v>
      </c>
      <c r="S57" s="202" t="s">
        <v>228</v>
      </c>
      <c r="T57" s="203" t="s"/>
      <c r="U57" s="204">
        <v>190</v>
      </c>
      <c r="V57" s="178" t="s"/>
    </row>
    <row r="58" spans="1:22" s="931" customFormat="1" ht="42" customHeight="1">
      <c r="A58" s="205">
        <v>25</v>
      </c>
      <c r="B58" s="206" t="s">
        <v>229</v>
      </c>
      <c r="C58" s="93" t="s"/>
      <c r="D58" s="164" t="s">
        <v>230</v>
      </c>
      <c r="E58" s="207" t="s">
        <v>231</v>
      </c>
      <c r="F58" s="208" t="s">
        <v>31</v>
      </c>
      <c r="G58" s="207" t="s">
        <v>231</v>
      </c>
      <c r="H58" s="95" t="s">
        <v>210</v>
      </c>
      <c r="I58" s="207" t="s">
        <v>232</v>
      </c>
      <c r="J58" s="72" t="s"/>
      <c r="K58" s="209" t="s">
        <v>233</v>
      </c>
      <c r="L58" s="210">
        <v>3</v>
      </c>
      <c r="M58" s="210">
        <v>3</v>
      </c>
      <c r="N58" s="132">
        <v>4</v>
      </c>
      <c r="O58" s="127">
        <v>4</v>
      </c>
      <c r="P58" s="211" t="s">
        <v>234</v>
      </c>
      <c r="Q58" s="211" t="s">
        <v>234</v>
      </c>
      <c r="R58" s="211" t="s">
        <v>235</v>
      </c>
      <c r="S58" s="211" t="s">
        <v>235</v>
      </c>
      <c r="T58" s="87" t="s"/>
      <c r="U58" s="177">
        <v>132</v>
      </c>
      <c r="V58" s="212" t="s"/>
    </row>
    <row r="59" spans="1:22" s="932" customFormat="1" ht="42" customHeight="1">
      <c r="A59" s="104" t="s"/>
      <c r="B59" s="105" t="s"/>
      <c r="C59" s="106" t="s"/>
      <c r="D59" s="193" t="s">
        <v>610</v>
      </c>
      <c r="E59" s="104" t="s"/>
      <c r="F59" s="104" t="s"/>
      <c r="G59" s="104" t="s"/>
      <c r="H59" s="104" t="s"/>
      <c r="I59" s="104" t="s"/>
      <c r="J59" s="72" t="s"/>
      <c r="K59" s="104" t="s"/>
      <c r="L59" s="104" t="s"/>
      <c r="M59" s="104" t="s"/>
      <c r="N59" s="139" t="s"/>
      <c r="O59" s="139" t="s"/>
      <c r="P59" s="211" t="s">
        <v>236</v>
      </c>
      <c r="Q59" s="211" t="s">
        <v>236</v>
      </c>
      <c r="R59" s="211" t="s">
        <v>237</v>
      </c>
      <c r="S59" s="211" t="s">
        <v>237</v>
      </c>
      <c r="T59" s="87" t="s"/>
      <c r="U59" s="177">
        <v>132</v>
      </c>
      <c r="V59" s="213" t="s"/>
    </row>
    <row r="60" spans="1:22" s="931" customFormat="1" ht="45" customHeight="1">
      <c r="A60" s="104" t="s"/>
      <c r="B60" s="105" t="s"/>
      <c r="C60" s="106" t="s"/>
      <c r="D60" s="164" t="s">
        <v>238</v>
      </c>
      <c r="E60" s="104" t="s"/>
      <c r="F60" s="104" t="s"/>
      <c r="G60" s="104" t="s"/>
      <c r="H60" s="104" t="s"/>
      <c r="I60" s="104" t="s"/>
      <c r="J60" s="72" t="s"/>
      <c r="K60" s="104" t="s"/>
      <c r="L60" s="104" t="s"/>
      <c r="M60" s="104" t="s"/>
      <c r="N60" s="139" t="s"/>
      <c r="O60" s="139" t="s"/>
      <c r="P60" s="87" t="s">
        <v>55</v>
      </c>
      <c r="Q60" s="87" t="s">
        <v>55</v>
      </c>
      <c r="R60" s="87" t="s">
        <v>239</v>
      </c>
      <c r="S60" s="87" t="s">
        <v>239</v>
      </c>
      <c r="T60" s="87" t="s"/>
      <c r="U60" s="177">
        <v>132</v>
      </c>
      <c r="V60" s="169" t="s"/>
    </row>
    <row r="61" spans="1:22" s="932" customFormat="1" ht="45" customHeight="1">
      <c r="A61" s="214" t="s"/>
      <c r="B61" s="215" t="s"/>
      <c r="C61" s="216" t="s"/>
      <c r="D61" s="193" t="s">
        <v>611</v>
      </c>
      <c r="E61" s="214" t="s"/>
      <c r="F61" s="214" t="s"/>
      <c r="G61" s="214" t="s"/>
      <c r="H61" s="214" t="s"/>
      <c r="I61" s="214" t="s"/>
      <c r="J61" s="72" t="s"/>
      <c r="K61" s="107" t="s"/>
      <c r="L61" s="214" t="s"/>
      <c r="M61" s="214" t="s"/>
      <c r="N61" s="139" t="s"/>
      <c r="O61" s="139" t="s"/>
      <c r="P61" s="87" t="s">
        <v>40</v>
      </c>
      <c r="Q61" s="87" t="s">
        <v>40</v>
      </c>
      <c r="R61" s="137" t="s">
        <v>163</v>
      </c>
      <c r="S61" s="217" t="s">
        <v>163</v>
      </c>
      <c r="T61" s="87" t="s"/>
      <c r="U61" s="218">
        <v>132</v>
      </c>
      <c r="V61" s="219" t="s"/>
    </row>
    <row r="62" spans="1:22" ht="71.5" customHeight="1">
      <c r="A62" s="133">
        <v>26</v>
      </c>
      <c r="B62" s="220" t="s">
        <v>240</v>
      </c>
      <c r="C62" s="93" t="s"/>
      <c r="D62" s="141" t="s">
        <v>241</v>
      </c>
      <c r="E62" s="186" t="s">
        <v>242</v>
      </c>
      <c r="F62" s="143" t="s">
        <v>31</v>
      </c>
      <c r="G62" s="186" t="s">
        <v>243</v>
      </c>
      <c r="H62" s="135" t="s">
        <v>244</v>
      </c>
      <c r="I62" s="186" t="s">
        <v>245</v>
      </c>
      <c r="J62" s="141" t="s"/>
      <c r="K62" s="114" t="s">
        <v>246</v>
      </c>
      <c r="L62" s="186" t="s">
        <v>247</v>
      </c>
      <c r="M62" s="143" t="s">
        <v>248</v>
      </c>
      <c r="N62" s="221" t="s">
        <v>249</v>
      </c>
      <c r="O62" s="221" t="s">
        <v>250</v>
      </c>
      <c r="P62" s="211" t="s">
        <v>251</v>
      </c>
      <c r="Q62" s="87" t="s">
        <v>252</v>
      </c>
      <c r="R62" s="211" t="s">
        <v>252</v>
      </c>
      <c r="S62" s="211" t="s">
        <v>253</v>
      </c>
      <c r="T62" s="141" t="s"/>
      <c r="U62" s="102" t="s">
        <v>254</v>
      </c>
      <c r="V62" s="103" t="s">
        <v>255</v>
      </c>
    </row>
    <row r="63" spans="1:22" ht="73" customHeight="1">
      <c r="A63" s="104" t="s"/>
      <c r="B63" s="105" t="s"/>
      <c r="C63" s="106" t="s"/>
      <c r="D63" s="188" t="s">
        <v>612</v>
      </c>
      <c r="E63" s="107" t="s"/>
      <c r="F63" s="104" t="s"/>
      <c r="G63" s="107" t="s"/>
      <c r="H63" s="104" t="s"/>
      <c r="I63" s="107" t="s"/>
      <c r="J63" s="141" t="s"/>
      <c r="K63" s="101" t="s">
        <v>256</v>
      </c>
      <c r="L63" s="107" t="s"/>
      <c r="M63" s="107" t="s"/>
      <c r="N63" s="108" t="s"/>
      <c r="O63" s="108" t="s"/>
      <c r="P63" s="211" t="s">
        <v>257</v>
      </c>
      <c r="Q63" s="87" t="s">
        <v>258</v>
      </c>
      <c r="R63" s="211" t="s">
        <v>258</v>
      </c>
      <c r="S63" s="211" t="s">
        <v>259</v>
      </c>
      <c r="T63" s="114" t="s"/>
      <c r="U63" s="107" t="s"/>
      <c r="V63" s="104" t="s"/>
    </row>
    <row r="64" spans="1:22" ht="73" customHeight="1">
      <c r="A64" s="104" t="s"/>
      <c r="B64" s="105" t="s"/>
      <c r="C64" s="106" t="s"/>
      <c r="D64" s="94" t="s">
        <v>260</v>
      </c>
      <c r="E64" s="186" t="s">
        <v>261</v>
      </c>
      <c r="F64" s="104" t="s"/>
      <c r="G64" s="222" t="s">
        <v>262</v>
      </c>
      <c r="H64" s="104" t="s"/>
      <c r="I64" s="186" t="s">
        <v>263</v>
      </c>
      <c r="J64" s="141" t="s"/>
      <c r="K64" s="114" t="s">
        <v>246</v>
      </c>
      <c r="L64" s="136">
        <v>2</v>
      </c>
      <c r="M64" s="136" t="s">
        <v>264</v>
      </c>
      <c r="N64" s="127" t="s">
        <v>264</v>
      </c>
      <c r="O64" s="127">
        <v>3</v>
      </c>
      <c r="P64" s="72" t="s">
        <v>265</v>
      </c>
      <c r="Q64" s="72" t="s">
        <v>265</v>
      </c>
      <c r="R64" s="72" t="s">
        <v>266</v>
      </c>
      <c r="S64" s="72" t="s">
        <v>266</v>
      </c>
      <c r="T64" s="114" t="s"/>
      <c r="U64" s="102" t="s">
        <v>267</v>
      </c>
      <c r="V64" s="104" t="s"/>
    </row>
    <row r="65" spans="1:22" ht="73" customHeight="1">
      <c r="A65" s="107" t="s"/>
      <c r="B65" s="109" t="s"/>
      <c r="C65" s="110" t="s"/>
      <c r="D65" s="223" t="s">
        <v>613</v>
      </c>
      <c r="E65" s="107" t="s"/>
      <c r="F65" s="107" t="s"/>
      <c r="G65" s="107" t="s"/>
      <c r="H65" s="107" t="s"/>
      <c r="I65" s="107" t="s"/>
      <c r="J65" s="141" t="s"/>
      <c r="K65" s="101" t="s">
        <v>256</v>
      </c>
      <c r="L65" s="107" t="s"/>
      <c r="M65" s="107" t="s"/>
      <c r="N65" s="108" t="s"/>
      <c r="O65" s="108" t="s"/>
      <c r="P65" s="87" t="s">
        <v>268</v>
      </c>
      <c r="Q65" s="87" t="s">
        <v>268</v>
      </c>
      <c r="R65" s="87" t="s">
        <v>269</v>
      </c>
      <c r="S65" s="87" t="s">
        <v>269</v>
      </c>
      <c r="T65" s="114" t="s"/>
      <c r="U65" s="107" t="s"/>
      <c r="V65" s="107" t="s"/>
    </row>
    <row r="66" spans="1:22" s="932" customFormat="1" ht="49.5" customHeight="1">
      <c r="A66" s="91">
        <v>27</v>
      </c>
      <c r="B66" s="145" t="s">
        <v>270</v>
      </c>
      <c r="C66" s="93" t="s"/>
      <c r="D66" s="94" t="s">
        <v>49</v>
      </c>
      <c r="E66" s="135">
        <v>60</v>
      </c>
      <c r="F66" s="143" t="s">
        <v>50</v>
      </c>
      <c r="G66" s="146">
        <v>48</v>
      </c>
      <c r="H66" s="146" t="s">
        <v>271</v>
      </c>
      <c r="I66" s="143" t="s">
        <v>272</v>
      </c>
      <c r="J66" s="141" t="s"/>
      <c r="K66" s="124" t="s">
        <v>273</v>
      </c>
      <c r="L66" s="136">
        <v>3</v>
      </c>
      <c r="M66" s="136">
        <v>3</v>
      </c>
      <c r="N66" s="127">
        <v>4</v>
      </c>
      <c r="O66" s="127">
        <v>4</v>
      </c>
      <c r="P66" s="54" t="s">
        <v>274</v>
      </c>
      <c r="Q66" s="54" t="s">
        <v>274</v>
      </c>
      <c r="R66" s="69" t="s">
        <v>275</v>
      </c>
      <c r="S66" s="69" t="s">
        <v>275</v>
      </c>
      <c r="T66" s="101" t="s"/>
      <c r="U66" s="102">
        <v>120</v>
      </c>
      <c r="V66" s="103" t="s"/>
    </row>
    <row r="67" spans="1:22" s="932" customFormat="1" ht="49.5" customHeight="1">
      <c r="A67" s="104" t="s"/>
      <c r="B67" s="105" t="s"/>
      <c r="C67" s="106" t="s"/>
      <c r="D67" s="188" t="s">
        <v>614</v>
      </c>
      <c r="E67" s="104" t="s"/>
      <c r="F67" s="104" t="s"/>
      <c r="G67" s="104" t="s"/>
      <c r="H67" s="104" t="s"/>
      <c r="I67" s="104" t="s"/>
      <c r="J67" s="117" t="s"/>
      <c r="K67" s="98" t="s">
        <v>276</v>
      </c>
      <c r="L67" s="104" t="s"/>
      <c r="M67" s="104" t="s"/>
      <c r="N67" s="139" t="s"/>
      <c r="O67" s="139" t="s"/>
      <c r="P67" s="69" t="s">
        <v>192</v>
      </c>
      <c r="Q67" s="69" t="s">
        <v>192</v>
      </c>
      <c r="R67" s="156" t="s">
        <v>277</v>
      </c>
      <c r="S67" s="69" t="s">
        <v>277</v>
      </c>
      <c r="T67" s="101" t="s"/>
      <c r="U67" s="104" t="s"/>
      <c r="V67" s="104" t="s"/>
    </row>
    <row r="68" spans="1:22" s="932" customFormat="1" ht="49.5" hidden="1" customHeight="1">
      <c r="A68" s="107" t="s"/>
      <c r="B68" s="109" t="s"/>
      <c r="C68" s="110" t="s"/>
      <c r="D68" s="97" t="s">
        <v>56</v>
      </c>
      <c r="E68" s="107" t="s"/>
      <c r="F68" s="107" t="s"/>
      <c r="G68" s="107" t="s"/>
      <c r="H68" s="107" t="s"/>
      <c r="I68" s="107" t="s"/>
      <c r="J68" s="141" t="s"/>
      <c r="K68" s="124" t="s">
        <v>278</v>
      </c>
      <c r="L68" s="107" t="s"/>
      <c r="M68" s="107" t="s"/>
      <c r="N68" s="108" t="s"/>
      <c r="O68" s="108" t="s"/>
      <c r="P68" s="224" t="s"/>
      <c r="Q68" s="224" t="s"/>
      <c r="R68" s="224" t="s"/>
      <c r="S68" s="224" t="s"/>
      <c r="T68" s="101" t="s"/>
      <c r="U68" s="107" t="s"/>
      <c r="V68" s="107" t="s"/>
    </row>
    <row r="69" spans="1:22" ht="57" customHeight="1">
      <c r="A69" s="168">
        <v>28</v>
      </c>
      <c r="B69" s="66" t="s">
        <v>279</v>
      </c>
      <c r="C69" s="169" t="s"/>
      <c r="D69" s="77" t="s">
        <v>89</v>
      </c>
      <c r="E69" s="70" t="s">
        <v>280</v>
      </c>
      <c r="F69" s="67" t="s">
        <v>24</v>
      </c>
      <c r="G69" s="70" t="s">
        <v>280</v>
      </c>
      <c r="H69" s="66" t="s">
        <v>24</v>
      </c>
      <c r="I69" s="70" t="s">
        <v>280</v>
      </c>
      <c r="J69" s="72" t="s"/>
      <c r="K69" s="70">
        <v>5</v>
      </c>
      <c r="L69" s="68">
        <v>2</v>
      </c>
      <c r="M69" s="68">
        <v>2</v>
      </c>
      <c r="N69" s="72">
        <v>3</v>
      </c>
      <c r="O69" s="58">
        <v>3</v>
      </c>
      <c r="P69" s="54" t="s">
        <v>281</v>
      </c>
      <c r="Q69" s="54" t="s">
        <v>281</v>
      </c>
      <c r="R69" s="225" t="s">
        <v>282</v>
      </c>
      <c r="S69" s="226" t="s">
        <v>282</v>
      </c>
      <c r="T69" s="128" t="s"/>
      <c r="U69" s="227">
        <v>99</v>
      </c>
      <c r="V69" s="125" t="s"/>
    </row>
    <row r="70" spans="1:22" ht="50" hidden="1" customHeight="1">
      <c r="A70" s="228" t="s"/>
      <c r="B70" s="169" t="s"/>
      <c r="C70" s="169" t="s"/>
      <c r="D70" s="77" t="s">
        <v>283</v>
      </c>
      <c r="E70" s="70" t="s">
        <v>284</v>
      </c>
      <c r="F70" s="228" t="s"/>
      <c r="G70" s="70" t="s">
        <v>284</v>
      </c>
      <c r="H70" s="228" t="s"/>
      <c r="I70" s="70" t="s">
        <v>284</v>
      </c>
      <c r="J70" s="72" t="s"/>
      <c r="K70" s="228" t="s"/>
      <c r="L70" s="68">
        <v>2</v>
      </c>
      <c r="M70" s="68">
        <v>2</v>
      </c>
      <c r="N70" s="58">
        <v>2</v>
      </c>
      <c r="O70" s="58">
        <v>2</v>
      </c>
      <c r="P70" s="54" t="s">
        <v>281</v>
      </c>
      <c r="Q70" s="54" t="s">
        <v>281</v>
      </c>
      <c r="R70" s="54" t="s">
        <v>281</v>
      </c>
      <c r="S70" s="54" t="s">
        <v>281</v>
      </c>
      <c r="T70" s="69" t="s"/>
      <c r="U70" s="89">
        <v>107</v>
      </c>
      <c r="V70" s="228" t="s"/>
    </row>
    <row r="71" spans="1:22" ht="50" customHeight="1">
      <c r="A71" s="161">
        <v>29</v>
      </c>
      <c r="B71" s="52" t="s">
        <v>285</v>
      </c>
      <c r="C71" s="229" t="s"/>
      <c r="D71" s="229" t="s"/>
      <c r="E71" s="52">
        <v>150</v>
      </c>
      <c r="F71" s="52" t="s">
        <v>50</v>
      </c>
      <c r="G71" s="52">
        <v>120</v>
      </c>
      <c r="H71" s="52" t="s">
        <v>190</v>
      </c>
      <c r="I71" s="163" t="s">
        <v>286</v>
      </c>
      <c r="J71" s="57" t="s"/>
      <c r="K71" s="163">
        <v>4</v>
      </c>
      <c r="L71" s="230">
        <v>1</v>
      </c>
      <c r="M71" s="52">
        <v>2</v>
      </c>
      <c r="N71" s="54">
        <v>2</v>
      </c>
      <c r="O71" s="54">
        <v>2</v>
      </c>
      <c r="P71" s="115" t="s">
        <v>287</v>
      </c>
      <c r="Q71" s="54" t="s">
        <v>288</v>
      </c>
      <c r="R71" s="88" t="s">
        <v>288</v>
      </c>
      <c r="S71" s="54" t="s">
        <v>288</v>
      </c>
      <c r="T71" s="69" t="s"/>
      <c r="U71" s="227">
        <v>150</v>
      </c>
      <c r="V71" s="173" t="s"/>
    </row>
    <row r="72" spans="1:22" ht="40" customHeight="1">
      <c r="A72" s="161">
        <v>30</v>
      </c>
      <c r="B72" s="52" t="s">
        <v>289</v>
      </c>
      <c r="C72" s="53" t="s"/>
      <c r="D72" s="53" t="s"/>
      <c r="E72" s="163" t="s">
        <v>290</v>
      </c>
      <c r="F72" s="52" t="s">
        <v>24</v>
      </c>
      <c r="G72" s="163" t="s">
        <v>290</v>
      </c>
      <c r="H72" s="163" t="s">
        <v>210</v>
      </c>
      <c r="I72" s="163" t="s">
        <v>291</v>
      </c>
      <c r="J72" s="58" t="s"/>
      <c r="K72" s="163">
        <v>6</v>
      </c>
      <c r="L72" s="163">
        <v>2</v>
      </c>
      <c r="M72" s="163">
        <v>2</v>
      </c>
      <c r="N72" s="58">
        <v>3</v>
      </c>
      <c r="O72" s="58">
        <v>3</v>
      </c>
      <c r="P72" s="54" t="s">
        <v>292</v>
      </c>
      <c r="Q72" s="54" t="s">
        <v>292</v>
      </c>
      <c r="R72" s="58" t="s">
        <v>293</v>
      </c>
      <c r="S72" s="58" t="s">
        <v>293</v>
      </c>
      <c r="T72" s="58" t="s"/>
      <c r="U72" s="227">
        <v>50</v>
      </c>
      <c r="V72" s="167" t="s"/>
    </row>
    <row r="73" spans="1:22" ht="48.5" customHeight="1">
      <c r="A73" s="161">
        <v>31</v>
      </c>
      <c r="B73" s="231" t="s">
        <v>294</v>
      </c>
      <c r="C73" s="45" t="s"/>
      <c r="D73" s="52" t="s">
        <v>295</v>
      </c>
      <c r="E73" s="163">
        <v>88</v>
      </c>
      <c r="F73" s="232" t="s">
        <v>31</v>
      </c>
      <c r="G73" s="230">
        <v>79</v>
      </c>
      <c r="H73" s="52" t="s">
        <v>244</v>
      </c>
      <c r="I73" s="232">
        <v>158</v>
      </c>
      <c r="J73" s="71" t="s"/>
      <c r="K73" s="163" t="s">
        <v>256</v>
      </c>
      <c r="L73" s="210">
        <v>2</v>
      </c>
      <c r="M73" s="210">
        <v>2</v>
      </c>
      <c r="N73" s="233">
        <v>3</v>
      </c>
      <c r="O73" s="233">
        <v>3</v>
      </c>
      <c r="P73" s="71" t="s">
        <v>296</v>
      </c>
      <c r="Q73" s="71" t="s">
        <v>296</v>
      </c>
      <c r="R73" s="115" t="s">
        <v>297</v>
      </c>
      <c r="S73" s="115" t="s">
        <v>297</v>
      </c>
      <c r="T73" s="115" t="s"/>
      <c r="U73" s="234">
        <v>88</v>
      </c>
      <c r="V73" s="235" t="s"/>
    </row>
    <row r="74" spans="1:22" ht="46.5" customHeight="1">
      <c r="A74" s="45" t="s"/>
      <c r="B74" s="45" t="s"/>
      <c r="C74" s="45" t="s"/>
      <c r="D74" s="188" t="s">
        <v>615</v>
      </c>
      <c r="E74" s="45" t="s"/>
      <c r="F74" s="45" t="s"/>
      <c r="G74" s="45" t="s"/>
      <c r="H74" s="45" t="s"/>
      <c r="I74" s="45" t="s"/>
      <c r="J74" s="236" t="s"/>
      <c r="K74" s="69" t="s">
        <v>298</v>
      </c>
      <c r="L74" s="107" t="s"/>
      <c r="M74" s="107" t="s"/>
      <c r="N74" s="108" t="s"/>
      <c r="O74" s="108" t="s"/>
      <c r="P74" s="87" t="s">
        <v>299</v>
      </c>
      <c r="Q74" s="87" t="s">
        <v>299</v>
      </c>
      <c r="R74" s="137" t="s">
        <v>300</v>
      </c>
      <c r="S74" s="87" t="s">
        <v>300</v>
      </c>
      <c r="T74" s="71" t="s"/>
      <c r="U74" s="107" t="s"/>
      <c r="V74" s="104" t="s"/>
    </row>
    <row r="75" spans="1:22" ht="46.5" customHeight="1">
      <c r="A75" s="45" t="s"/>
      <c r="B75" s="45" t="s"/>
      <c r="C75" s="45" t="s"/>
      <c r="D75" s="165" t="s">
        <v>49</v>
      </c>
      <c r="E75" s="52">
        <v>70</v>
      </c>
      <c r="F75" s="45" t="s"/>
      <c r="G75" s="230">
        <v>63</v>
      </c>
      <c r="H75" s="45" t="s"/>
      <c r="I75" s="232">
        <v>126</v>
      </c>
      <c r="J75" s="236" t="s"/>
      <c r="K75" s="163" t="s">
        <v>256</v>
      </c>
      <c r="L75" s="210">
        <v>3</v>
      </c>
      <c r="M75" s="210">
        <v>3</v>
      </c>
      <c r="N75" s="233">
        <v>3</v>
      </c>
      <c r="O75" s="233">
        <v>4</v>
      </c>
      <c r="P75" s="115" t="s">
        <v>301</v>
      </c>
      <c r="Q75" s="115" t="s">
        <v>301</v>
      </c>
      <c r="R75" s="115" t="s">
        <v>301</v>
      </c>
      <c r="S75" s="71" t="s">
        <v>302</v>
      </c>
      <c r="T75" s="71" t="s"/>
      <c r="U75" s="102">
        <v>70</v>
      </c>
      <c r="V75" s="104" t="s"/>
    </row>
    <row r="76" spans="1:22" ht="46.5" customHeight="1">
      <c r="A76" s="45" t="s"/>
      <c r="B76" s="45" t="s"/>
      <c r="C76" s="45" t="s"/>
      <c r="D76" s="188" t="s">
        <v>614</v>
      </c>
      <c r="E76" s="45" t="s"/>
      <c r="F76" s="45" t="s"/>
      <c r="G76" s="45" t="s"/>
      <c r="H76" s="45" t="s"/>
      <c r="I76" s="45" t="s"/>
      <c r="J76" s="236" t="s"/>
      <c r="K76" s="69" t="s">
        <v>298</v>
      </c>
      <c r="L76" s="107" t="s"/>
      <c r="M76" s="107" t="s"/>
      <c r="N76" s="108" t="s"/>
      <c r="O76" s="108" t="s"/>
      <c r="P76" s="87" t="s">
        <v>300</v>
      </c>
      <c r="Q76" s="87" t="s">
        <v>300</v>
      </c>
      <c r="R76" s="87" t="s">
        <v>300</v>
      </c>
      <c r="S76" s="72" t="s">
        <v>303</v>
      </c>
      <c r="T76" s="71" t="s"/>
      <c r="U76" s="107" t="s"/>
      <c r="V76" s="107" t="s"/>
    </row>
  </sheetData>
  <mergeCells count="319">
    <mergeCell ref="L7:L8"/>
    <mergeCell ref="M7:M8"/>
    <mergeCell ref="B9:D9"/>
    <mergeCell ref="B72:D72"/>
    <mergeCell ref="B71:D71"/>
    <mergeCell ref="H7:I7"/>
    <mergeCell ref="F7:G7"/>
    <mergeCell ref="E7:E8"/>
    <mergeCell ref="V6:V8"/>
    <mergeCell ref="K6:K8"/>
    <mergeCell ref="E6:I6"/>
    <mergeCell ref="B6:D8"/>
    <mergeCell ref="A6:A8"/>
    <mergeCell ref="A5:H5"/>
    <mergeCell ref="A4:H4"/>
    <mergeCell ref="B40:D40"/>
    <mergeCell ref="B43:C44"/>
    <mergeCell ref="V43:V44"/>
    <mergeCell ref="E43:E44"/>
    <mergeCell ref="L43:L44"/>
    <mergeCell ref="M43:M44"/>
    <mergeCell ref="F43:F44"/>
    <mergeCell ref="G43:G44"/>
    <mergeCell ref="H43:H44"/>
    <mergeCell ref="I43:I44"/>
    <mergeCell ref="A10:A12"/>
    <mergeCell ref="B10:C12"/>
    <mergeCell ref="E10:E12"/>
    <mergeCell ref="F10:F12"/>
    <mergeCell ref="G10:G12"/>
    <mergeCell ref="H10:H12"/>
    <mergeCell ref="I10:I12"/>
    <mergeCell ref="K10:K12"/>
    <mergeCell ref="L10:L12"/>
    <mergeCell ref="M10:M12"/>
    <mergeCell ref="A43:A44"/>
    <mergeCell ref="A41:A42"/>
    <mergeCell ref="B41:C42"/>
    <mergeCell ref="E41:E42"/>
    <mergeCell ref="F41:F42"/>
    <mergeCell ref="G41:G42"/>
    <mergeCell ref="H41:H42"/>
    <mergeCell ref="I41:I42"/>
    <mergeCell ref="L41:L42"/>
    <mergeCell ref="M41:M42"/>
    <mergeCell ref="V41:V42"/>
    <mergeCell ref="U6:U8"/>
    <mergeCell ref="B57:C57"/>
    <mergeCell ref="U41:U42"/>
    <mergeCell ref="U43:U44"/>
    <mergeCell ref="B69:C70"/>
    <mergeCell ref="F69:F70"/>
    <mergeCell ref="H69:H70"/>
    <mergeCell ref="K69:K70"/>
    <mergeCell ref="V69:V70"/>
    <mergeCell ref="A69:A70"/>
    <mergeCell ref="A45:A46"/>
    <mergeCell ref="B45:C46"/>
    <mergeCell ref="V45:V46"/>
    <mergeCell ref="E46:I46"/>
    <mergeCell ref="J6:J8"/>
    <mergeCell ref="T6:T8"/>
    <mergeCell ref="V10:V12"/>
    <mergeCell ref="B73:C76"/>
    <mergeCell ref="A73:A76"/>
    <mergeCell ref="E73:E74"/>
    <mergeCell ref="E75:E76"/>
    <mergeCell ref="F73:F76"/>
    <mergeCell ref="G73:G74"/>
    <mergeCell ref="G75:G76"/>
    <mergeCell ref="H73:H76"/>
    <mergeCell ref="I73:I74"/>
    <mergeCell ref="I75:I76"/>
    <mergeCell ref="L73:L74"/>
    <mergeCell ref="M73:M74"/>
    <mergeCell ref="L75:L76"/>
    <mergeCell ref="M75:M76"/>
    <mergeCell ref="U73:U74"/>
    <mergeCell ref="U75:U76"/>
    <mergeCell ref="V73:V76"/>
    <mergeCell ref="V16:V17"/>
    <mergeCell ref="K16:K17"/>
    <mergeCell ref="H16:H17"/>
    <mergeCell ref="F16:F17"/>
    <mergeCell ref="B16:C17"/>
    <mergeCell ref="A16:A17"/>
    <mergeCell ref="A21:A22"/>
    <mergeCell ref="B21:C22"/>
    <mergeCell ref="E21:E22"/>
    <mergeCell ref="F21:F22"/>
    <mergeCell ref="G21:G22"/>
    <mergeCell ref="H21:H22"/>
    <mergeCell ref="I21:I22"/>
    <mergeCell ref="L21:L22"/>
    <mergeCell ref="M21:M22"/>
    <mergeCell ref="V21:V22"/>
    <mergeCell ref="A13:A15"/>
    <mergeCell ref="B13:C15"/>
    <mergeCell ref="E13:E14"/>
    <mergeCell ref="F13:F15"/>
    <mergeCell ref="G13:G14"/>
    <mergeCell ref="H13:H15"/>
    <mergeCell ref="I13:I14"/>
    <mergeCell ref="L13:L14"/>
    <mergeCell ref="M13:M14"/>
    <mergeCell ref="U13:U14"/>
    <mergeCell ref="V13:V15"/>
    <mergeCell ref="A29:A30"/>
    <mergeCell ref="B29:C30"/>
    <mergeCell ref="F29:F30"/>
    <mergeCell ref="H29:H30"/>
    <mergeCell ref="K29:K30"/>
    <mergeCell ref="V29:V30"/>
    <mergeCell ref="B18:D18"/>
    <mergeCell ref="A19:A20"/>
    <mergeCell ref="B19:C20"/>
    <mergeCell ref="E19:E20"/>
    <mergeCell ref="F19:F20"/>
    <mergeCell ref="G19:G20"/>
    <mergeCell ref="H19:H20"/>
    <mergeCell ref="I19:I20"/>
    <mergeCell ref="K19:K20"/>
    <mergeCell ref="L19:L20"/>
    <mergeCell ref="M19:M20"/>
    <mergeCell ref="V19:V20"/>
    <mergeCell ref="B23:C25"/>
    <mergeCell ref="E23:E25"/>
    <mergeCell ref="F23:F25"/>
    <mergeCell ref="G23:G25"/>
    <mergeCell ref="H23:H25"/>
    <mergeCell ref="I23:I25"/>
    <mergeCell ref="K23:K25"/>
    <mergeCell ref="L23:L25"/>
    <mergeCell ref="M23:M25"/>
    <mergeCell ref="A23:A25"/>
    <mergeCell ref="V23:V25"/>
    <mergeCell ref="A26:A28"/>
    <mergeCell ref="B26:C28"/>
    <mergeCell ref="F26:F28"/>
    <mergeCell ref="H26:H28"/>
    <mergeCell ref="K26:K27"/>
    <mergeCell ref="V26:V28"/>
    <mergeCell ref="A31:A32"/>
    <mergeCell ref="B31:C32"/>
    <mergeCell ref="E31:E32"/>
    <mergeCell ref="G31:G32"/>
    <mergeCell ref="I31:I32"/>
    <mergeCell ref="F31:F32"/>
    <mergeCell ref="H31:H32"/>
    <mergeCell ref="L31:L32"/>
    <mergeCell ref="M31:M32"/>
    <mergeCell ref="U31:U32"/>
    <mergeCell ref="V31:V32"/>
    <mergeCell ref="A33:A34"/>
    <mergeCell ref="B33:C34"/>
    <mergeCell ref="F33:F34"/>
    <mergeCell ref="H33:H34"/>
    <mergeCell ref="K33:K34"/>
    <mergeCell ref="V33:V34"/>
    <mergeCell ref="B35:D35"/>
    <mergeCell ref="L36:L37"/>
    <mergeCell ref="M36:M37"/>
    <mergeCell ref="K36:K37"/>
    <mergeCell ref="H36:H37"/>
    <mergeCell ref="B36:C37"/>
    <mergeCell ref="F36:F37"/>
    <mergeCell ref="I36:I37"/>
    <mergeCell ref="G36:G37"/>
    <mergeCell ref="E36:E37"/>
    <mergeCell ref="V36:V37"/>
    <mergeCell ref="A36:A37"/>
    <mergeCell ref="B38:D38"/>
    <mergeCell ref="B39:C39"/>
    <mergeCell ref="B50:C53"/>
    <mergeCell ref="A50:A53"/>
    <mergeCell ref="E50:E51"/>
    <mergeCell ref="E52:E53"/>
    <mergeCell ref="F50:F53"/>
    <mergeCell ref="G50:G51"/>
    <mergeCell ref="G52:G53"/>
    <mergeCell ref="H50:H53"/>
    <mergeCell ref="I52:I53"/>
    <mergeCell ref="I50:I51"/>
    <mergeCell ref="K50:K53"/>
    <mergeCell ref="L50:L51"/>
    <mergeCell ref="M50:M51"/>
    <mergeCell ref="L52:L53"/>
    <mergeCell ref="M52:M53"/>
    <mergeCell ref="V50:V53"/>
    <mergeCell ref="U52:U53"/>
    <mergeCell ref="U50:U51"/>
    <mergeCell ref="F47:F48"/>
    <mergeCell ref="H47:H48"/>
    <mergeCell ref="I47:I48"/>
    <mergeCell ref="G47:G48"/>
    <mergeCell ref="E47:E48"/>
    <mergeCell ref="B47:C49"/>
    <mergeCell ref="A47:A49"/>
    <mergeCell ref="J47:J49"/>
    <mergeCell ref="K47:K49"/>
    <mergeCell ref="T47:T49"/>
    <mergeCell ref="V47:V49"/>
    <mergeCell ref="A66:A68"/>
    <mergeCell ref="B66:C68"/>
    <mergeCell ref="E66:E68"/>
    <mergeCell ref="F66:F68"/>
    <mergeCell ref="G66:G68"/>
    <mergeCell ref="H66:H68"/>
    <mergeCell ref="I66:I68"/>
    <mergeCell ref="L66:L68"/>
    <mergeCell ref="M66:M68"/>
    <mergeCell ref="V66:V68"/>
    <mergeCell ref="U66:U68"/>
    <mergeCell ref="A62:A65"/>
    <mergeCell ref="B62:C65"/>
    <mergeCell ref="F62:F65"/>
    <mergeCell ref="H62:H65"/>
    <mergeCell ref="E62:E63"/>
    <mergeCell ref="E64:E65"/>
    <mergeCell ref="G62:G63"/>
    <mergeCell ref="G64:G65"/>
    <mergeCell ref="I62:I63"/>
    <mergeCell ref="I64:I65"/>
    <mergeCell ref="L62:L63"/>
    <mergeCell ref="M62:M63"/>
    <mergeCell ref="L64:L65"/>
    <mergeCell ref="M64:M65"/>
    <mergeCell ref="V62:V65"/>
    <mergeCell ref="U64:U65"/>
    <mergeCell ref="U62:U63"/>
    <mergeCell ref="A54:A56"/>
    <mergeCell ref="B54:C56"/>
    <mergeCell ref="E54:E56"/>
    <mergeCell ref="F54:F56"/>
    <mergeCell ref="G54:G56"/>
    <mergeCell ref="H54:H56"/>
    <mergeCell ref="I54:I56"/>
    <mergeCell ref="K54:K56"/>
    <mergeCell ref="L54:L56"/>
    <mergeCell ref="M54:M56"/>
    <mergeCell ref="V54:V56"/>
    <mergeCell ref="V58:V60"/>
    <mergeCell ref="B58:C61"/>
    <mergeCell ref="A58:A61"/>
    <mergeCell ref="E58:E61"/>
    <mergeCell ref="F58:F61"/>
    <mergeCell ref="G58:G61"/>
    <mergeCell ref="H58:H61"/>
    <mergeCell ref="I58:I61"/>
    <mergeCell ref="K58:K61"/>
    <mergeCell ref="L58:L61"/>
    <mergeCell ref="M58:M61"/>
    <mergeCell ref="P7:P8"/>
    <mergeCell ref="Q7:Q8"/>
    <mergeCell ref="R7:R8"/>
    <mergeCell ref="S7:S8"/>
    <mergeCell ref="N7:N8"/>
    <mergeCell ref="O7:O8"/>
    <mergeCell ref="P6:S6"/>
    <mergeCell ref="L6:O6"/>
    <mergeCell ref="N43:N44"/>
    <mergeCell ref="O43:O44"/>
    <mergeCell ref="N10:N12"/>
    <mergeCell ref="O10:O12"/>
    <mergeCell ref="N41:N42"/>
    <mergeCell ref="O41:O42"/>
    <mergeCell ref="P41:P42"/>
    <mergeCell ref="Q41:Q42"/>
    <mergeCell ref="R41:R42"/>
    <mergeCell ref="S41:S42"/>
    <mergeCell ref="R5:V5"/>
    <mergeCell ref="R4:V4"/>
    <mergeCell ref="N73:N74"/>
    <mergeCell ref="O73:O74"/>
    <mergeCell ref="N75:N76"/>
    <mergeCell ref="O75:O76"/>
    <mergeCell ref="N21:N22"/>
    <mergeCell ref="O21:O22"/>
    <mergeCell ref="N13:N14"/>
    <mergeCell ref="O13:O14"/>
    <mergeCell ref="P13:P14"/>
    <mergeCell ref="Q13:Q14"/>
    <mergeCell ref="R13:R14"/>
    <mergeCell ref="S13:S14"/>
    <mergeCell ref="N19:N20"/>
    <mergeCell ref="O19:O20"/>
    <mergeCell ref="N23:N25"/>
    <mergeCell ref="O23:O25"/>
    <mergeCell ref="N31:N32"/>
    <mergeCell ref="O31:O32"/>
    <mergeCell ref="P31:P32"/>
    <mergeCell ref="Q31:Q32"/>
    <mergeCell ref="R31:R32"/>
    <mergeCell ref="S31:S32"/>
    <mergeCell ref="N36:N37"/>
    <mergeCell ref="O36:O37"/>
    <mergeCell ref="N54:N56"/>
    <mergeCell ref="O54:O56"/>
    <mergeCell ref="R43:R44"/>
    <mergeCell ref="P43:P44"/>
    <mergeCell ref="Q43:Q44"/>
    <mergeCell ref="S43:S44"/>
    <mergeCell ref="N50:N51"/>
    <mergeCell ref="O50:O51"/>
    <mergeCell ref="N52:N53"/>
    <mergeCell ref="O52:O53"/>
    <mergeCell ref="N66:N68"/>
    <mergeCell ref="O66:O68"/>
    <mergeCell ref="N62:N63"/>
    <mergeCell ref="O62:O63"/>
    <mergeCell ref="N64:N65"/>
    <mergeCell ref="O64:O65"/>
    <mergeCell ref="N58:N61"/>
    <mergeCell ref="O58:O61"/>
    <mergeCell ref="I5:Q5"/>
    <mergeCell ref="I4:Q4"/>
    <mergeCell ref="A1:V1"/>
    <mergeCell ref="A2:V2"/>
    <mergeCell ref="A3:V3"/>
  </mergeCells>
  <hyperlinks>
    <hyperlink ref="A3" r:id="rId0"/>
  </hyperlinks>
  <pageMargins left="0.7" right="0.7" top="0.75" bottom="0.75" header="0.3" footer="0.3"/>
  <pageSetup paperSize="9" fitToWidth="0" fitToHeight="0" orientation="portrait"/>
</worksheet>
</file>

<file path=xl/worksheets/sheet2.xml><?xml version="1.0" encoding="utf-8"?>
<worksheet xmlns="http://schemas.openxmlformats.org/spreadsheetml/2006/main">
  <sheetPr/>
  <dimension ref="Z198"/>
  <sheetViews>
    <sheetView showGridLines="1" zoomScale="70" zoomScaleNormal="70" workbookViewId="0">
      <pane ySplit="4" topLeftCell="A5" state="frozen"/>
    </sheetView>
  </sheetViews>
  <sheetFormatPr baseColWidth="8" defaultRowHeight="15.5"/>
  <cols>
    <col min="1" max="1" width="15.1641" style="935" customWidth="1"/>
    <col min="2" max="2" width="15.1641" style="934" customWidth="1"/>
    <col min="3" max="3" width="16.9141" style="934" customWidth="1"/>
    <col min="4" max="4" width="13.9141" style="934" customWidth="1"/>
    <col min="5" max="5" width="17.4844" style="934" customWidth="1"/>
    <col min="6" max="6" width="13.6094" style="934" customWidth="1"/>
    <col min="7" max="7" width="14.8398" style="934" customWidth="1"/>
    <col min="8" max="8" width="18.1523" style="935" customWidth="1"/>
    <col min="9" max="9" width="21.3398" style="937" customWidth="1"/>
    <col min="10" max="10" width="28.082" style="937" customWidth="1"/>
    <col min="11" max="11" width="46.3281" style="934" customWidth="1"/>
    <col min="12" max="23" width="8.66406" style="934" customWidth="1"/>
  </cols>
  <sheetData>
    <row r="1" spans="1:11" ht="63" customHeight="1">
      <c r="A1" s="237" t="s">
        <v>616</v>
      </c>
      <c r="B1" s="45" t="s"/>
      <c r="C1" s="45" t="s"/>
      <c r="D1" s="45" t="s"/>
      <c r="E1" s="45" t="s"/>
      <c r="F1" s="45" t="s"/>
      <c r="G1" s="45" t="s"/>
      <c r="H1" s="45" t="s"/>
      <c r="I1" s="45" t="s"/>
      <c r="J1" s="45" t="s"/>
      <c r="K1" s="45" t="s"/>
    </row>
    <row r="2" spans="1:11" ht="28.5" customHeight="1">
      <c r="A2" s="238" t="s">
        <v>304</v>
      </c>
      <c r="B2" s="45" t="s"/>
      <c r="C2" s="45" t="s"/>
      <c r="D2" s="45" t="s"/>
      <c r="E2" s="45" t="s"/>
      <c r="F2" s="45" t="s"/>
      <c r="G2" s="45" t="s"/>
      <c r="H2" s="45" t="s"/>
      <c r="I2" s="45" t="s"/>
      <c r="J2" s="45" t="s"/>
      <c r="K2" s="45" t="s"/>
    </row>
    <row r="3" spans="1:11" ht="37.5" customHeight="1">
      <c r="A3" s="239" t="s">
        <v>305</v>
      </c>
      <c r="B3" s="240" t="s">
        <v>617</v>
      </c>
      <c r="C3" s="241" t="s">
        <v>306</v>
      </c>
      <c r="D3" s="42" t="s"/>
      <c r="E3" s="42" t="s"/>
      <c r="F3" s="242" t="s">
        <v>307</v>
      </c>
      <c r="G3" s="243" t="s">
        <v>308</v>
      </c>
      <c r="H3" s="244" t="s">
        <v>618</v>
      </c>
      <c r="I3" s="245" t="s">
        <v>619</v>
      </c>
      <c r="J3" s="246" t="s">
        <v>620</v>
      </c>
      <c r="K3" s="247" t="s">
        <v>309</v>
      </c>
    </row>
    <row r="4" spans="1:11" ht="37.5" customHeight="1">
      <c r="A4" s="45" t="s"/>
      <c r="B4" s="248" t="s"/>
      <c r="C4" s="42" t="s"/>
      <c r="D4" s="42" t="s"/>
      <c r="E4" s="42" t="s"/>
      <c r="F4" s="46" t="s"/>
      <c r="G4" s="45" t="s"/>
      <c r="H4" s="45" t="s"/>
      <c r="I4" s="249" t="s"/>
      <c r="J4" s="45" t="s"/>
      <c r="K4" s="45" t="s"/>
    </row>
    <row r="5" spans="1:23" s="932" customFormat="1" ht="37.5" customHeight="1">
      <c r="A5" s="250" t="s">
        <v>310</v>
      </c>
      <c r="B5" s="250">
        <v>1</v>
      </c>
      <c r="C5" s="251" t="s">
        <v>148</v>
      </c>
      <c r="D5" s="252" t="s"/>
      <c r="E5" s="140" t="s">
        <v>183</v>
      </c>
      <c r="F5" s="154">
        <v>24</v>
      </c>
      <c r="G5" s="154">
        <v>9</v>
      </c>
      <c r="H5" s="253">
        <v>1.02</v>
      </c>
      <c r="I5" s="254">
        <f>(F5-G5)/F5*100%</f>
        <v>0.625</v>
      </c>
      <c r="J5" s="255">
        <f>H5/(G5-1)*(F5-G5)</f>
        <v>1.9125</v>
      </c>
      <c r="K5" s="256" t="s"/>
      <c r="L5" s="257" t="s"/>
      <c r="M5" s="257" t="s"/>
      <c r="N5" s="257" t="s"/>
      <c r="O5" s="257" t="s"/>
      <c r="P5" s="257" t="s"/>
      <c r="Q5" s="257" t="s"/>
      <c r="R5" s="257" t="s"/>
      <c r="S5" s="257" t="s"/>
      <c r="T5" s="257" t="s"/>
      <c r="U5" s="257" t="s"/>
      <c r="V5" s="257" t="s"/>
      <c r="W5" s="257" t="s"/>
    </row>
    <row r="6" spans="1:23" s="932" customFormat="1" ht="37.5" customHeight="1">
      <c r="A6" s="104" t="s"/>
      <c r="B6" s="258" t="s"/>
      <c r="C6" s="259" t="s"/>
      <c r="D6" s="260" t="s"/>
      <c r="E6" s="140" t="s">
        <v>126</v>
      </c>
      <c r="F6" s="154">
        <v>24</v>
      </c>
      <c r="G6" s="154">
        <v>8</v>
      </c>
      <c r="H6" s="253">
        <v>0.9</v>
      </c>
      <c r="I6" s="254">
        <f>(F6-G6)/F6*100%</f>
        <v>0.666666666666667</v>
      </c>
      <c r="J6" s="255">
        <f>H6/(G6-1)*(F6-G6)</f>
        <v>2.05714285714286</v>
      </c>
      <c r="K6" s="256" t="s"/>
      <c r="L6" s="257" t="s"/>
      <c r="M6" s="257" t="s"/>
      <c r="N6" s="257" t="s"/>
      <c r="O6" s="257" t="s"/>
      <c r="P6" s="257" t="s"/>
      <c r="Q6" s="257" t="s"/>
      <c r="R6" s="257" t="s"/>
      <c r="S6" s="257" t="s"/>
      <c r="T6" s="257" t="s"/>
      <c r="U6" s="257" t="s"/>
      <c r="V6" s="257" t="s"/>
      <c r="W6" s="257" t="s"/>
    </row>
    <row r="7" spans="2:23" s="932" customFormat="1" ht="37.5" customHeight="1">
      <c r="B7" s="91">
        <v>2</v>
      </c>
      <c r="C7" s="92" t="s">
        <v>70</v>
      </c>
      <c r="D7" s="93" t="s"/>
      <c r="E7" s="101" t="s">
        <v>71</v>
      </c>
      <c r="F7" s="97">
        <v>35</v>
      </c>
      <c r="G7" s="101">
        <v>12</v>
      </c>
      <c r="H7" s="261">
        <v>0.83</v>
      </c>
      <c r="I7" s="262">
        <f>(F7-G7)/F7*100%</f>
        <v>0.657142857142857</v>
      </c>
      <c r="J7" s="263">
        <f>H7/(G7-1)*(F7-G7)</f>
        <v>1.73545454545455</v>
      </c>
      <c r="K7" s="97" t="s"/>
      <c r="L7" s="264" t="s"/>
      <c r="M7" s="264" t="s"/>
      <c r="N7" s="264" t="s"/>
      <c r="O7" s="264" t="s"/>
      <c r="P7" s="264" t="s"/>
      <c r="Q7" s="264" t="s"/>
      <c r="R7" s="264" t="s"/>
      <c r="S7" s="264" t="s"/>
      <c r="T7" s="264" t="s"/>
      <c r="U7" s="264" t="s"/>
      <c r="V7" s="264" t="s"/>
      <c r="W7" s="264" t="s"/>
    </row>
    <row r="8" spans="1:23" s="932" customFormat="1" ht="37.5" customHeight="1">
      <c r="A8" s="104" t="s"/>
      <c r="B8" s="107" t="s"/>
      <c r="C8" s="109" t="s"/>
      <c r="D8" s="110" t="s"/>
      <c r="E8" s="101" t="s">
        <v>78</v>
      </c>
      <c r="F8" s="265">
        <v>35</v>
      </c>
      <c r="G8" s="101">
        <v>13</v>
      </c>
      <c r="H8" s="261">
        <v>0.94</v>
      </c>
      <c r="I8" s="262">
        <f>(F7-G8)/F7*100%</f>
        <v>0.628571428571429</v>
      </c>
      <c r="J8" s="266" t="s">
        <v>311</v>
      </c>
      <c r="K8" s="267" t="s"/>
      <c r="L8" s="264" t="s"/>
      <c r="M8" s="264" t="s"/>
      <c r="N8" s="264" t="s"/>
      <c r="O8" s="264" t="s"/>
      <c r="P8" s="264" t="s"/>
      <c r="Q8" s="264" t="s"/>
      <c r="R8" s="264" t="s"/>
      <c r="S8" s="264" t="s"/>
      <c r="T8" s="264" t="s"/>
      <c r="U8" s="264" t="s"/>
      <c r="V8" s="264" t="s"/>
      <c r="W8" s="264" t="s"/>
    </row>
    <row r="9" spans="1:23" s="932" customFormat="1" ht="37.5" customHeight="1">
      <c r="A9" s="104" t="s"/>
      <c r="B9" s="268">
        <v>3</v>
      </c>
      <c r="C9" s="269" t="s">
        <v>135</v>
      </c>
      <c r="D9" s="93" t="s"/>
      <c r="E9" s="270" t="s">
        <v>183</v>
      </c>
      <c r="F9" s="271">
        <v>26</v>
      </c>
      <c r="G9" s="272">
        <v>12</v>
      </c>
      <c r="H9" s="273">
        <v>1.09</v>
      </c>
      <c r="I9" s="274">
        <f>(F9-G9)/F9*100%</f>
        <v>0.538461538461539</v>
      </c>
      <c r="J9" s="275">
        <f>H9/(G9-1)*(F9-G9)</f>
        <v>1.38727272727273</v>
      </c>
      <c r="K9" s="276" t="s">
        <v>621</v>
      </c>
      <c r="L9" s="257" t="s"/>
      <c r="M9" s="257" t="s"/>
      <c r="N9" s="257" t="s"/>
      <c r="O9" s="257" t="s"/>
      <c r="P9" s="257" t="s"/>
      <c r="Q9" s="257" t="s"/>
      <c r="R9" s="257" t="s"/>
      <c r="S9" s="257" t="s"/>
      <c r="T9" s="257" t="s"/>
      <c r="U9" s="257" t="s"/>
      <c r="V9" s="257" t="s"/>
      <c r="W9" s="257" t="s"/>
    </row>
    <row r="10" spans="1:23" s="932" customFormat="1" ht="37.5" customHeight="1">
      <c r="A10" s="104" t="s"/>
      <c r="B10" s="214" t="s"/>
      <c r="C10" s="215" t="s"/>
      <c r="D10" s="216" t="s"/>
      <c r="E10" s="270" t="s">
        <v>137</v>
      </c>
      <c r="F10" s="271">
        <v>13</v>
      </c>
      <c r="G10" s="272">
        <v>8</v>
      </c>
      <c r="H10" s="273">
        <v>0.9</v>
      </c>
      <c r="I10" s="274">
        <f>(F10-G10)/F10*100%</f>
        <v>0.384615384615385</v>
      </c>
      <c r="J10" s="275">
        <f>H10/(G10-1)*(F10-G10)</f>
        <v>0.642857142857143</v>
      </c>
      <c r="K10" s="277" t="s">
        <v>622</v>
      </c>
      <c r="L10" s="257" t="s"/>
      <c r="M10" s="257" t="s"/>
      <c r="N10" s="257" t="s"/>
      <c r="O10" s="257" t="s"/>
      <c r="P10" s="257" t="s"/>
      <c r="Q10" s="257" t="s"/>
      <c r="R10" s="257" t="s"/>
      <c r="S10" s="257" t="s"/>
      <c r="T10" s="257" t="s"/>
      <c r="U10" s="257" t="s"/>
      <c r="V10" s="257" t="s"/>
      <c r="W10" s="257" t="s"/>
    </row>
    <row r="11" spans="1:23" ht="37.5" customHeight="1">
      <c r="A11" s="104" t="s"/>
      <c r="B11" s="268">
        <v>4</v>
      </c>
      <c r="C11" s="92" t="s">
        <v>177</v>
      </c>
      <c r="D11" s="93" t="s"/>
      <c r="E11" s="101" t="s">
        <v>183</v>
      </c>
      <c r="F11" s="97">
        <v>27</v>
      </c>
      <c r="G11" s="101">
        <v>13</v>
      </c>
      <c r="H11" s="261">
        <v>1.01</v>
      </c>
      <c r="I11" s="262">
        <f>(F11-G11)/F11*100%</f>
        <v>0.518518518518519</v>
      </c>
      <c r="J11" s="263">
        <f>H11/(G11-1)*(F11-G11)</f>
        <v>1.17833333333333</v>
      </c>
      <c r="K11" s="278" t="s"/>
      <c r="L11" s="279" t="s"/>
      <c r="M11" s="279" t="s"/>
      <c r="N11" s="279" t="s"/>
      <c r="O11" s="279" t="s"/>
      <c r="P11" s="279" t="s"/>
      <c r="Q11" s="279" t="s"/>
      <c r="R11" s="279" t="s"/>
      <c r="S11" s="279" t="s"/>
      <c r="T11" s="279" t="s"/>
      <c r="U11" s="279" t="s"/>
      <c r="V11" s="279" t="s"/>
      <c r="W11" s="279" t="s"/>
    </row>
    <row r="12" spans="1:23" ht="37.5" customHeight="1">
      <c r="A12" s="104" t="s"/>
      <c r="B12" s="107" t="s"/>
      <c r="C12" s="109" t="s"/>
      <c r="D12" s="110" t="s"/>
      <c r="E12" s="101" t="s">
        <v>56</v>
      </c>
      <c r="F12" s="97">
        <v>29</v>
      </c>
      <c r="G12" s="101">
        <v>13</v>
      </c>
      <c r="H12" s="261">
        <v>1.01</v>
      </c>
      <c r="I12" s="262">
        <f>(F12-G12)/F12*100%</f>
        <v>0.551724137931035</v>
      </c>
      <c r="J12" s="263">
        <f>H12/(G12-1)*(F12-G12)</f>
        <v>1.34666666666667</v>
      </c>
      <c r="K12" s="280" t="s"/>
      <c r="L12" s="279" t="s"/>
      <c r="M12" s="279" t="s"/>
      <c r="N12" s="279" t="s"/>
      <c r="O12" s="279" t="s"/>
      <c r="P12" s="279" t="s"/>
      <c r="Q12" s="279" t="s"/>
      <c r="R12" s="279" t="s"/>
      <c r="S12" s="279" t="s"/>
      <c r="T12" s="279" t="s"/>
      <c r="U12" s="279" t="s"/>
      <c r="V12" s="279" t="s"/>
      <c r="W12" s="279" t="s"/>
    </row>
    <row r="13" spans="1:23" s="933" ht="37.5" customHeight="1">
      <c r="A13" s="104" t="s"/>
      <c r="B13" s="158">
        <v>5</v>
      </c>
      <c r="C13" s="121" t="s">
        <v>312</v>
      </c>
      <c r="D13" s="122" t="s"/>
      <c r="E13" s="123" t="s"/>
      <c r="F13" s="97">
        <v>30</v>
      </c>
      <c r="G13" s="101">
        <v>15</v>
      </c>
      <c r="H13" s="261">
        <v>0.9</v>
      </c>
      <c r="I13" s="262">
        <f>(F13-G13)/F13*100%</f>
        <v>0.5</v>
      </c>
      <c r="J13" s="263">
        <f>H13/(G13-1)*(F13-G13)</f>
        <v>0.964285714285715</v>
      </c>
      <c r="K13" s="280" t="s"/>
      <c r="L13" s="279" t="s"/>
      <c r="M13" s="279" t="s"/>
      <c r="N13" s="279" t="s"/>
      <c r="O13" s="279" t="s"/>
      <c r="P13" s="279" t="s"/>
      <c r="Q13" s="279" t="s"/>
      <c r="R13" s="279" t="s"/>
      <c r="S13" s="279" t="s"/>
      <c r="T13" s="279" t="s"/>
      <c r="U13" s="279" t="s"/>
      <c r="V13" s="279" t="s"/>
      <c r="W13" s="279" t="s"/>
    </row>
    <row r="14" spans="1:23" s="931" customFormat="1" ht="37.5" customHeight="1">
      <c r="A14" s="104" t="s"/>
      <c r="B14" s="281">
        <v>6</v>
      </c>
      <c r="C14" s="282" t="s">
        <v>313</v>
      </c>
      <c r="D14" s="283" t="s"/>
      <c r="E14" s="283" t="s"/>
      <c r="F14" s="284">
        <v>24</v>
      </c>
      <c r="G14" s="282">
        <v>13</v>
      </c>
      <c r="H14" s="285">
        <v>0.99</v>
      </c>
      <c r="I14" s="286">
        <f>(F14-G14)/F14*100%</f>
        <v>0.458333333333333</v>
      </c>
      <c r="J14" s="287">
        <f>H14/(G14-1)*(F14-G14)</f>
        <v>0.9075</v>
      </c>
      <c r="K14" s="276" t="s">
        <v>623</v>
      </c>
      <c r="L14" s="288" t="s"/>
      <c r="M14" s="288" t="s"/>
      <c r="N14" s="288" t="s"/>
      <c r="O14" s="288" t="s"/>
      <c r="P14" s="288" t="s"/>
      <c r="Q14" s="288" t="s"/>
      <c r="R14" s="288" t="s"/>
      <c r="S14" s="288" t="s"/>
      <c r="T14" s="288" t="s"/>
      <c r="U14" s="288" t="s"/>
      <c r="V14" s="288" t="s"/>
      <c r="W14" s="288" t="s"/>
    </row>
    <row r="15" spans="1:23" s="933" ht="37.5" customHeight="1">
      <c r="A15" s="214" t="s"/>
      <c r="B15" s="289">
        <v>7</v>
      </c>
      <c r="C15" s="290" t="s">
        <v>154</v>
      </c>
      <c r="D15" s="291" t="s"/>
      <c r="E15" s="292" t="s"/>
      <c r="F15" s="271">
        <v>27</v>
      </c>
      <c r="G15" s="271">
        <v>17</v>
      </c>
      <c r="H15" s="293">
        <v>0.91</v>
      </c>
      <c r="I15" s="286">
        <f>(F15-G15)/F15*100%</f>
        <v>0.37037037037037</v>
      </c>
      <c r="J15" s="287">
        <f>H15/(G15-1)*(F15-G15)</f>
        <v>0.56875</v>
      </c>
      <c r="K15" s="276" t="s">
        <v>624</v>
      </c>
      <c r="L15" s="294" t="s"/>
      <c r="M15" s="294" t="s"/>
      <c r="N15" s="294" t="s"/>
      <c r="O15" s="294" t="s"/>
      <c r="P15" s="294" t="s"/>
      <c r="Q15" s="294" t="s"/>
      <c r="R15" s="294" t="s"/>
      <c r="S15" s="294" t="s"/>
      <c r="T15" s="294" t="s"/>
      <c r="U15" s="294" t="s"/>
      <c r="V15" s="294" t="s"/>
      <c r="W15" s="294" t="s"/>
    </row>
    <row r="16" spans="1:23" s="933" ht="37.5" hidden="1" customHeight="1">
      <c r="A16" s="295" t="s"/>
      <c r="B16" s="289">
        <v>8</v>
      </c>
      <c r="C16" s="296" t="s">
        <v>314</v>
      </c>
      <c r="D16" s="283" t="s"/>
      <c r="E16" s="283" t="s"/>
      <c r="F16" s="154">
        <v>11</v>
      </c>
      <c r="G16" s="154">
        <v>8</v>
      </c>
      <c r="H16" s="253">
        <v>1</v>
      </c>
      <c r="I16" s="254">
        <f>(F16-G16)/F16*100%</f>
        <v>0.272727272727273</v>
      </c>
      <c r="J16" s="255">
        <f>H16/(G16-1)*(F16-G16)</f>
        <v>0.428571428571429</v>
      </c>
      <c r="K16" s="297" t="s"/>
      <c r="L16" s="288" t="s"/>
      <c r="M16" s="288" t="s"/>
      <c r="N16" s="288" t="s"/>
      <c r="O16" s="288" t="s"/>
      <c r="P16" s="288" t="s"/>
      <c r="Q16" s="288" t="s"/>
      <c r="R16" s="288" t="s"/>
      <c r="S16" s="288" t="s"/>
      <c r="T16" s="288" t="s"/>
      <c r="U16" s="288" t="s"/>
      <c r="V16" s="288" t="s"/>
      <c r="W16" s="288" t="s"/>
    </row>
    <row r="17" spans="1:23" ht="37.5" customHeight="1">
      <c r="A17" s="298" t="s">
        <v>315</v>
      </c>
      <c r="B17" s="299">
        <v>1</v>
      </c>
      <c r="C17" s="300" t="s">
        <v>189</v>
      </c>
      <c r="D17" s="301" t="s"/>
      <c r="E17" s="93" t="s"/>
      <c r="F17" s="302">
        <v>25</v>
      </c>
      <c r="G17" s="302">
        <v>11</v>
      </c>
      <c r="H17" s="303">
        <v>1.18</v>
      </c>
      <c r="I17" s="304">
        <f>(F17-G17)/F17*100%</f>
        <v>0.56</v>
      </c>
      <c r="J17" s="305">
        <f>H17/(G17-1)*(F17-G17)</f>
        <v>1.652</v>
      </c>
      <c r="K17" s="306" t="s"/>
      <c r="L17" s="288" t="s"/>
      <c r="M17" s="288" t="s"/>
      <c r="N17" s="288" t="s"/>
      <c r="O17" s="288" t="s"/>
      <c r="P17" s="288" t="s"/>
      <c r="Q17" s="288" t="s"/>
      <c r="R17" s="288" t="s"/>
      <c r="S17" s="288" t="s"/>
      <c r="T17" s="288" t="s"/>
      <c r="U17" s="288" t="s"/>
      <c r="V17" s="288" t="s"/>
      <c r="W17" s="288" t="s"/>
    </row>
    <row r="18" spans="1:23" ht="37.5" hidden="1" customHeight="1">
      <c r="A18" s="104" t="s"/>
      <c r="B18" s="307" t="s"/>
      <c r="C18" s="109" t="s"/>
      <c r="D18" s="308" t="s"/>
      <c r="E18" s="110" t="s"/>
      <c r="F18" s="302">
        <v>30</v>
      </c>
      <c r="G18" s="302">
        <v>10</v>
      </c>
      <c r="H18" s="303">
        <v>1.43</v>
      </c>
      <c r="I18" s="309" t="s"/>
      <c r="J18" s="310">
        <f>H18/(G18-1)*(F18-G18)</f>
        <v>3.17777777777778</v>
      </c>
      <c r="K18" s="306" t="s"/>
      <c r="L18" s="288" t="s"/>
      <c r="M18" s="288" t="s"/>
      <c r="N18" s="288" t="s"/>
      <c r="O18" s="288" t="s"/>
      <c r="P18" s="288" t="s"/>
      <c r="Q18" s="288" t="s"/>
      <c r="R18" s="288" t="s"/>
      <c r="S18" s="288" t="s"/>
      <c r="T18" s="288" t="s"/>
      <c r="U18" s="288" t="s"/>
      <c r="V18" s="288" t="s"/>
      <c r="W18" s="288" t="s"/>
    </row>
    <row r="19" spans="1:23" ht="37.5" customHeight="1">
      <c r="A19" s="104" t="s"/>
      <c r="B19" s="289">
        <v>2</v>
      </c>
      <c r="C19" s="296" t="s">
        <v>316</v>
      </c>
      <c r="D19" s="311" t="s"/>
      <c r="E19" s="311" t="s"/>
      <c r="F19" s="312">
        <v>29</v>
      </c>
      <c r="G19" s="313">
        <v>10</v>
      </c>
      <c r="H19" s="253">
        <v>0.9</v>
      </c>
      <c r="I19" s="314">
        <f>(F19-G19)/F19*100%</f>
        <v>0.655172413793104</v>
      </c>
      <c r="J19" s="255">
        <f>H19/(G19-1)*(F19-G19)</f>
        <v>1.9</v>
      </c>
      <c r="K19" s="256" t="s"/>
      <c r="L19" s="257" t="s"/>
      <c r="M19" s="257" t="s"/>
      <c r="N19" s="257" t="s"/>
      <c r="O19" s="257" t="s"/>
      <c r="P19" s="257" t="s"/>
      <c r="Q19" s="257" t="s"/>
      <c r="R19" s="257" t="s"/>
      <c r="S19" s="257" t="s"/>
      <c r="T19" s="257" t="s"/>
      <c r="U19" s="257" t="s"/>
      <c r="V19" s="257" t="s"/>
      <c r="W19" s="257" t="s"/>
    </row>
    <row r="20" spans="1:23" ht="37.5" customHeight="1">
      <c r="A20" s="104" t="s"/>
      <c r="B20" s="299">
        <v>3</v>
      </c>
      <c r="C20" s="315" t="s">
        <v>82</v>
      </c>
      <c r="D20" s="122" t="s"/>
      <c r="E20" s="123" t="s"/>
      <c r="F20" s="316">
        <v>29</v>
      </c>
      <c r="G20" s="154">
        <v>10</v>
      </c>
      <c r="H20" s="253">
        <v>0.83</v>
      </c>
      <c r="I20" s="317">
        <f>(F20-G20)/F20*100%</f>
        <v>0.655172413793104</v>
      </c>
      <c r="J20" s="255">
        <f>H20/(G20-1)*(F20-G20)</f>
        <v>1.75222222222222</v>
      </c>
      <c r="K20" s="318" t="s"/>
      <c r="L20" s="319" t="s"/>
      <c r="M20" s="319" t="s"/>
      <c r="N20" s="319" t="s"/>
      <c r="O20" s="319" t="s"/>
      <c r="P20" s="319" t="s"/>
      <c r="Q20" s="319" t="s"/>
      <c r="R20" s="319" t="s"/>
      <c r="S20" s="319" t="s"/>
      <c r="T20" s="319" t="s"/>
      <c r="U20" s="319" t="s"/>
      <c r="V20" s="319" t="s"/>
      <c r="W20" s="319" t="s"/>
    </row>
    <row r="21" spans="1:23" ht="37.5" customHeight="1">
      <c r="A21" s="104" t="s"/>
      <c r="B21" s="289">
        <v>4</v>
      </c>
      <c r="C21" s="296" t="s">
        <v>106</v>
      </c>
      <c r="D21" s="311" t="s"/>
      <c r="E21" s="296" t="s">
        <v>317</v>
      </c>
      <c r="F21" s="154">
        <v>32</v>
      </c>
      <c r="G21" s="313">
        <v>12</v>
      </c>
      <c r="H21" s="253">
        <v>0.87</v>
      </c>
      <c r="I21" s="254">
        <f>(F21-G21)/F21*100%</f>
        <v>0.625</v>
      </c>
      <c r="J21" s="255">
        <v>1.39</v>
      </c>
      <c r="K21" s="320" t="s"/>
      <c r="L21" s="321" t="s"/>
      <c r="M21" s="321" t="s"/>
      <c r="N21" s="321" t="s"/>
      <c r="O21" s="321" t="s"/>
      <c r="P21" s="321" t="s"/>
      <c r="Q21" s="321" t="s"/>
      <c r="R21" s="321" t="s"/>
      <c r="S21" s="321" t="s"/>
      <c r="T21" s="321" t="s"/>
      <c r="U21" s="321" t="s"/>
      <c r="V21" s="321" t="s"/>
      <c r="W21" s="321" t="s"/>
    </row>
    <row r="22" spans="1:23" ht="37.5" customHeight="1">
      <c r="A22" s="104" t="s"/>
      <c r="B22" s="322" t="s"/>
      <c r="C22" s="311" t="s"/>
      <c r="D22" s="311" t="s"/>
      <c r="E22" s="296" t="s">
        <v>318</v>
      </c>
      <c r="F22" s="154">
        <v>32</v>
      </c>
      <c r="G22" s="313">
        <v>12</v>
      </c>
      <c r="H22" s="253">
        <v>1.08</v>
      </c>
      <c r="I22" s="283" t="s"/>
      <c r="J22" s="255">
        <v>1.92</v>
      </c>
      <c r="K22" s="320" t="s"/>
      <c r="L22" s="321" t="s"/>
      <c r="M22" s="321" t="s"/>
      <c r="N22" s="321" t="s"/>
      <c r="O22" s="321" t="s"/>
      <c r="P22" s="321" t="s"/>
      <c r="Q22" s="321" t="s"/>
      <c r="R22" s="321" t="s"/>
      <c r="S22" s="321" t="s"/>
      <c r="T22" s="321" t="s"/>
      <c r="U22" s="321" t="s"/>
      <c r="V22" s="321" t="s"/>
      <c r="W22" s="321" t="s"/>
    </row>
    <row r="23" spans="1:23" ht="37.5" customHeight="1">
      <c r="A23" s="107" t="s"/>
      <c r="B23" s="289">
        <v>5</v>
      </c>
      <c r="C23" s="296" t="s">
        <v>164</v>
      </c>
      <c r="D23" s="311" t="s"/>
      <c r="E23" s="311" t="s"/>
      <c r="F23" s="312">
        <v>31</v>
      </c>
      <c r="G23" s="296">
        <v>14</v>
      </c>
      <c r="H23" s="323">
        <v>0.97</v>
      </c>
      <c r="I23" s="254">
        <f>(F23-G23)/F23*100%</f>
        <v>0.548387096774194</v>
      </c>
      <c r="J23" s="255">
        <f>H23/(G23-1)*(F23-G23)</f>
        <v>1.26846153846154</v>
      </c>
      <c r="K23" s="320" t="s"/>
      <c r="L23" s="321" t="s"/>
      <c r="M23" s="321" t="s"/>
      <c r="N23" s="321" t="s"/>
      <c r="O23" s="321" t="s"/>
      <c r="P23" s="321" t="s"/>
      <c r="Q23" s="321" t="s"/>
      <c r="R23" s="321" t="s"/>
      <c r="S23" s="321" t="s"/>
      <c r="T23" s="321" t="s"/>
      <c r="U23" s="321" t="s"/>
      <c r="V23" s="321" t="s"/>
      <c r="W23" s="321" t="s"/>
    </row>
    <row r="24" spans="1:23" s="933" ht="37.5" customHeight="1">
      <c r="A24" s="324" t="s">
        <v>319</v>
      </c>
      <c r="B24" s="289">
        <v>1</v>
      </c>
      <c r="C24" s="296" t="s">
        <v>23</v>
      </c>
      <c r="D24" s="311" t="s"/>
      <c r="E24" s="311" t="s"/>
      <c r="F24" s="325">
        <v>173</v>
      </c>
      <c r="G24" s="325">
        <v>15</v>
      </c>
      <c r="H24" s="323">
        <v>0.73</v>
      </c>
      <c r="I24" s="314">
        <f>(F24-G24)/F24*100%</f>
        <v>0.913294797687861</v>
      </c>
      <c r="J24" s="255">
        <f>H24/(G24-1)*(F24-G24)</f>
        <v>8.23857142857143</v>
      </c>
      <c r="K24" s="320" t="s"/>
      <c r="L24" s="321" t="s"/>
      <c r="M24" s="321" t="s"/>
      <c r="N24" s="321" t="s"/>
      <c r="O24" s="321" t="s"/>
      <c r="P24" s="321" t="s"/>
      <c r="Q24" s="321" t="s"/>
      <c r="R24" s="321" t="s"/>
      <c r="S24" s="321" t="s"/>
      <c r="T24" s="321" t="s"/>
      <c r="U24" s="321" t="s"/>
      <c r="V24" s="321" t="s"/>
      <c r="W24" s="321" t="s"/>
    </row>
    <row r="25" spans="1:23" s="933" ht="37.5" customHeight="1">
      <c r="A25" s="104" t="s"/>
      <c r="B25" s="289">
        <v>2</v>
      </c>
      <c r="C25" s="296" t="s">
        <v>157</v>
      </c>
      <c r="D25" s="311" t="s"/>
      <c r="E25" s="296" t="s">
        <v>158</v>
      </c>
      <c r="F25" s="154">
        <v>40</v>
      </c>
      <c r="G25" s="313">
        <v>7</v>
      </c>
      <c r="H25" s="253">
        <v>0.92</v>
      </c>
      <c r="I25" s="254">
        <f>(F25-G25)/F25*100%</f>
        <v>0.825</v>
      </c>
      <c r="J25" s="255">
        <f>H25/(G25-1)*(F25-G25)</f>
        <v>5.06</v>
      </c>
      <c r="K25" s="326" t="s"/>
      <c r="L25" s="327" t="s"/>
      <c r="M25" s="327" t="s"/>
      <c r="N25" s="327" t="s"/>
      <c r="O25" s="327" t="s"/>
      <c r="P25" s="327" t="s"/>
      <c r="Q25" s="327" t="s"/>
      <c r="R25" s="327" t="s"/>
      <c r="S25" s="327" t="s"/>
      <c r="T25" s="327" t="s"/>
      <c r="U25" s="327" t="s"/>
      <c r="V25" s="327" t="s"/>
      <c r="W25" s="327" t="s"/>
    </row>
    <row r="26" spans="1:23" ht="37.5" customHeight="1">
      <c r="A26" s="104" t="s"/>
      <c r="B26" s="322" t="s"/>
      <c r="C26" s="311" t="s"/>
      <c r="D26" s="311" t="s"/>
      <c r="E26" s="296" t="s">
        <v>49</v>
      </c>
      <c r="F26" s="154">
        <v>40</v>
      </c>
      <c r="G26" s="313">
        <v>7</v>
      </c>
      <c r="H26" s="253">
        <v>1.2</v>
      </c>
      <c r="I26" s="283" t="s"/>
      <c r="J26" s="255">
        <f>H26/(G26-1)*(F26-G26)</f>
        <v>6.6</v>
      </c>
      <c r="K26" s="326" t="s"/>
      <c r="L26" s="327" t="s"/>
      <c r="M26" s="327" t="s"/>
      <c r="N26" s="327" t="s"/>
      <c r="O26" s="327" t="s"/>
      <c r="P26" s="327" t="s"/>
      <c r="Q26" s="327" t="s"/>
      <c r="R26" s="327" t="s"/>
      <c r="S26" s="327" t="s"/>
      <c r="T26" s="327" t="s"/>
      <c r="U26" s="327" t="s"/>
      <c r="V26" s="327" t="s"/>
      <c r="W26" s="327" t="s"/>
    </row>
    <row r="27" spans="1:23" ht="37.5" customHeight="1">
      <c r="A27" s="104" t="s"/>
      <c r="B27" s="328">
        <v>3</v>
      </c>
      <c r="C27" s="329" t="s">
        <v>169</v>
      </c>
      <c r="D27" s="93" t="s"/>
      <c r="E27" s="330" t="s">
        <v>183</v>
      </c>
      <c r="F27" s="312">
        <v>50</v>
      </c>
      <c r="G27" s="313">
        <v>10</v>
      </c>
      <c r="H27" s="253">
        <v>1.02</v>
      </c>
      <c r="I27" s="314">
        <f>(F27-G27)/F27*100%</f>
        <v>0.8</v>
      </c>
      <c r="J27" s="255">
        <f>H27/(G27-1)*(F27-G27)</f>
        <v>4.53333333333333</v>
      </c>
      <c r="K27" s="326" t="s"/>
      <c r="L27" s="327" t="s"/>
      <c r="M27" s="327" t="s"/>
      <c r="N27" s="327" t="s"/>
      <c r="O27" s="327" t="s"/>
      <c r="P27" s="327" t="s"/>
      <c r="Q27" s="327" t="s"/>
      <c r="R27" s="327" t="s"/>
      <c r="S27" s="327" t="s"/>
      <c r="T27" s="327" t="s"/>
      <c r="U27" s="327" t="s"/>
      <c r="V27" s="327" t="s"/>
      <c r="W27" s="327" t="s"/>
    </row>
    <row r="28" spans="1:23" ht="37.5" hidden="1" customHeight="1">
      <c r="A28" s="104" t="s"/>
      <c r="B28" s="107" t="s"/>
      <c r="C28" s="109" t="s"/>
      <c r="D28" s="110" t="s"/>
      <c r="E28" s="77" t="s">
        <v>56</v>
      </c>
      <c r="F28" s="312">
        <v>52</v>
      </c>
      <c r="G28" s="313">
        <v>10</v>
      </c>
      <c r="H28" s="253">
        <v>1.02</v>
      </c>
      <c r="I28" s="314">
        <f>(F28-G28)/F28*100%</f>
        <v>0.807692307692308</v>
      </c>
      <c r="J28" s="255">
        <f>H28/(G28-1)*(F28-G28)</f>
        <v>4.76</v>
      </c>
      <c r="K28" s="326" t="s"/>
      <c r="L28" s="327" t="s"/>
      <c r="M28" s="327" t="s"/>
      <c r="N28" s="327" t="s"/>
      <c r="O28" s="327" t="s"/>
      <c r="P28" s="327" t="s"/>
      <c r="Q28" s="327" t="s"/>
      <c r="R28" s="327" t="s"/>
      <c r="S28" s="327" t="s"/>
      <c r="T28" s="327" t="s"/>
      <c r="U28" s="327" t="s"/>
      <c r="V28" s="327" t="s"/>
      <c r="W28" s="327" t="s"/>
    </row>
    <row r="29" spans="1:23" ht="37.5" customHeight="1">
      <c r="A29" s="104" t="s"/>
      <c r="B29" s="331">
        <v>4</v>
      </c>
      <c r="C29" s="332" t="s">
        <v>320</v>
      </c>
      <c r="D29" s="83" t="s"/>
      <c r="E29" s="83" t="s"/>
      <c r="F29" s="333">
        <v>28</v>
      </c>
      <c r="G29" s="333">
        <v>9</v>
      </c>
      <c r="H29" s="334">
        <v>0.82</v>
      </c>
      <c r="I29" s="335">
        <f>(F29-G29)/F29*100%</f>
        <v>0.678571428571429</v>
      </c>
      <c r="J29" s="336">
        <f>H29/(G29-1)*(F29-G29)</f>
        <v>1.9475</v>
      </c>
      <c r="K29" s="337" t="s"/>
      <c r="L29" s="338" t="s"/>
      <c r="M29" s="338" t="s"/>
      <c r="N29" s="338" t="s"/>
      <c r="O29" s="338" t="s"/>
      <c r="P29" s="338" t="s"/>
      <c r="Q29" s="338" t="s"/>
      <c r="R29" s="338" t="s"/>
      <c r="S29" s="338" t="s"/>
      <c r="T29" s="338" t="s"/>
      <c r="U29" s="338" t="s"/>
      <c r="V29" s="338" t="s"/>
      <c r="W29" s="338" t="s"/>
    </row>
    <row r="30" spans="1:23" ht="37.5" customHeight="1">
      <c r="A30" s="339" t="s"/>
      <c r="B30" s="107" t="s"/>
      <c r="C30" s="332" t="s">
        <v>321</v>
      </c>
      <c r="D30" s="83" t="s"/>
      <c r="E30" s="83" t="s"/>
      <c r="F30" s="333">
        <v>28</v>
      </c>
      <c r="G30" s="333">
        <v>10</v>
      </c>
      <c r="H30" s="334">
        <v>0.92</v>
      </c>
      <c r="I30" s="335">
        <f>(F30-G30)/F30*100%</f>
        <v>0.642857142857143</v>
      </c>
      <c r="J30" s="336">
        <f>H30/(G30-1)*(F30-G30)</f>
        <v>1.84</v>
      </c>
      <c r="K30" s="302" t="s"/>
      <c r="L30" s="340" t="s"/>
      <c r="M30" s="340" t="s"/>
      <c r="N30" s="340" t="s"/>
      <c r="O30" s="340" t="s"/>
      <c r="P30" s="340" t="s"/>
      <c r="Q30" s="340" t="s"/>
      <c r="R30" s="340" t="s"/>
      <c r="S30" s="340" t="s"/>
      <c r="T30" s="340" t="s"/>
      <c r="U30" s="340" t="s"/>
      <c r="V30" s="340" t="s"/>
      <c r="W30" s="340" t="s"/>
    </row>
    <row r="31" spans="1:23" ht="37.5" customHeight="1">
      <c r="A31" s="104" t="s"/>
      <c r="B31" s="341">
        <v>5</v>
      </c>
      <c r="C31" s="342" t="s">
        <v>29</v>
      </c>
      <c r="D31" s="343" t="s"/>
      <c r="E31" s="342" t="s">
        <v>49</v>
      </c>
      <c r="F31" s="344">
        <v>48</v>
      </c>
      <c r="G31" s="345">
        <v>13</v>
      </c>
      <c r="H31" s="346">
        <v>1.33</v>
      </c>
      <c r="I31" s="347">
        <f>(F31-G31)/F31*100%</f>
        <v>0.729166666666667</v>
      </c>
      <c r="J31" s="348">
        <v>1.48</v>
      </c>
      <c r="K31" s="337" t="s"/>
      <c r="L31" s="321" t="s"/>
      <c r="M31" s="321" t="s"/>
      <c r="N31" s="321" t="s"/>
      <c r="O31" s="321" t="s"/>
      <c r="P31" s="321" t="s"/>
      <c r="Q31" s="321" t="s"/>
      <c r="R31" s="321" t="s"/>
      <c r="S31" s="321" t="s"/>
      <c r="T31" s="321" t="s"/>
      <c r="U31" s="321" t="s"/>
      <c r="V31" s="321" t="s"/>
      <c r="W31" s="321" t="s"/>
    </row>
    <row r="32" spans="1:23" ht="37.5" customHeight="1">
      <c r="A32" s="104" t="s"/>
      <c r="B32" s="349" t="s"/>
      <c r="C32" s="343" t="s"/>
      <c r="D32" s="343" t="s"/>
      <c r="E32" s="342" t="s">
        <v>322</v>
      </c>
      <c r="F32" s="344">
        <v>48</v>
      </c>
      <c r="G32" s="345">
        <v>13</v>
      </c>
      <c r="H32" s="346">
        <v>1.07</v>
      </c>
      <c r="I32" s="350" t="s"/>
      <c r="J32" s="348">
        <v>1.46</v>
      </c>
      <c r="K32" s="337" t="s"/>
      <c r="L32" s="321" t="s"/>
      <c r="M32" s="321" t="s"/>
      <c r="N32" s="321" t="s"/>
      <c r="O32" s="321" t="s"/>
      <c r="P32" s="321" t="s"/>
      <c r="Q32" s="321" t="s"/>
      <c r="R32" s="321" t="s"/>
      <c r="S32" s="321" t="s"/>
      <c r="T32" s="321" t="s"/>
      <c r="U32" s="321" t="s"/>
      <c r="V32" s="321" t="s"/>
      <c r="W32" s="321" t="s"/>
    </row>
    <row r="33" spans="1:23" ht="37.5" customHeight="1">
      <c r="A33" s="351" t="s">
        <v>323</v>
      </c>
      <c r="B33" s="289">
        <v>1</v>
      </c>
      <c r="C33" s="352" t="s">
        <v>279</v>
      </c>
      <c r="D33" s="311" t="s"/>
      <c r="E33" s="352" t="s">
        <v>89</v>
      </c>
      <c r="F33" s="353">
        <v>5</v>
      </c>
      <c r="G33" s="354">
        <v>3</v>
      </c>
      <c r="H33" s="355">
        <v>2.12</v>
      </c>
      <c r="I33" s="356">
        <f>(F33-G33)/F33*100%</f>
        <v>0.4</v>
      </c>
      <c r="J33" s="357">
        <f>H33/(G33-1)*(F33-G33)</f>
        <v>2.12</v>
      </c>
      <c r="K33" s="326" t="s"/>
      <c r="L33" s="327" t="s"/>
      <c r="M33" s="327" t="s"/>
      <c r="N33" s="327" t="s"/>
      <c r="O33" s="327" t="s"/>
      <c r="P33" s="327" t="s"/>
      <c r="Q33" s="327" t="s"/>
      <c r="R33" s="327" t="s"/>
      <c r="S33" s="327" t="s"/>
      <c r="T33" s="327" t="s"/>
      <c r="U33" s="327" t="s"/>
      <c r="V33" s="327" t="s"/>
      <c r="W33" s="327" t="s"/>
    </row>
    <row r="34" spans="1:23" s="931" customFormat="1" ht="37.5" customHeight="1">
      <c r="A34" s="104" t="s"/>
      <c r="B34" s="328">
        <v>2</v>
      </c>
      <c r="C34" s="300" t="s">
        <v>324</v>
      </c>
      <c r="D34" s="93" t="s"/>
      <c r="E34" s="352" t="s">
        <v>89</v>
      </c>
      <c r="F34" s="353">
        <v>10</v>
      </c>
      <c r="G34" s="358">
        <v>4</v>
      </c>
      <c r="H34" s="355">
        <v>0.86</v>
      </c>
      <c r="I34" s="359">
        <f>(F34-G34)/F34*100%</f>
        <v>0.6</v>
      </c>
      <c r="J34" s="357">
        <f>H34/(G34-1)*(F34-G34)</f>
        <v>1.72</v>
      </c>
      <c r="K34" s="326" t="s"/>
      <c r="L34" s="360" t="s"/>
      <c r="M34" s="360" t="s"/>
      <c r="N34" s="360" t="s"/>
      <c r="O34" s="360" t="s"/>
      <c r="P34" s="360" t="s"/>
      <c r="Q34" s="360" t="s"/>
      <c r="R34" s="360" t="s"/>
      <c r="S34" s="360" t="s"/>
      <c r="T34" s="360" t="s"/>
      <c r="U34" s="360" t="s"/>
      <c r="V34" s="360" t="s"/>
      <c r="W34" s="360" t="s"/>
    </row>
    <row r="35" spans="1:23" s="932" customFormat="1" ht="37.5" customHeight="1">
      <c r="A35" s="361" t="s"/>
      <c r="B35" s="214" t="s"/>
      <c r="C35" s="215" t="s"/>
      <c r="D35" s="110" t="s"/>
      <c r="E35" s="352" t="s">
        <v>325</v>
      </c>
      <c r="F35" s="353">
        <v>12</v>
      </c>
      <c r="G35" s="358">
        <v>4</v>
      </c>
      <c r="H35" s="355">
        <v>0.81</v>
      </c>
      <c r="I35" s="359">
        <f>(F35-G35)/F35*100%</f>
        <v>0.666666666666667</v>
      </c>
      <c r="J35" s="357">
        <f>H35/(G35-1)*(F35-G35)</f>
        <v>2.16</v>
      </c>
      <c r="K35" s="326" t="s"/>
      <c r="L35" s="360" t="s"/>
      <c r="M35" s="360" t="s"/>
      <c r="N35" s="360" t="s"/>
      <c r="O35" s="360" t="s"/>
      <c r="P35" s="360" t="s"/>
      <c r="Q35" s="360" t="s"/>
      <c r="R35" s="360" t="s"/>
      <c r="S35" s="360" t="s"/>
      <c r="T35" s="360" t="s"/>
      <c r="U35" s="360" t="s"/>
      <c r="V35" s="360" t="s"/>
      <c r="W35" s="360" t="s"/>
    </row>
    <row r="36" spans="1:23" ht="37.5" customHeight="1">
      <c r="A36" s="104" t="s"/>
      <c r="B36" s="328">
        <v>3</v>
      </c>
      <c r="C36" s="362" t="s">
        <v>226</v>
      </c>
      <c r="D36" s="363" t="s">
        <v>183</v>
      </c>
      <c r="E36" s="352" t="s">
        <v>89</v>
      </c>
      <c r="F36" s="353">
        <v>5</v>
      </c>
      <c r="G36" s="354">
        <v>3</v>
      </c>
      <c r="H36" s="355">
        <v>1.52</v>
      </c>
      <c r="I36" s="356">
        <f>(F36-G36)/F36*100%</f>
        <v>0.4</v>
      </c>
      <c r="J36" s="357">
        <f>H36/(G36-1)*(F36-G36)</f>
        <v>1.52</v>
      </c>
      <c r="K36" s="326" t="s"/>
      <c r="L36" s="327" t="s"/>
      <c r="M36" s="327" t="s"/>
      <c r="N36" s="327" t="s"/>
      <c r="O36" s="327" t="s"/>
      <c r="P36" s="327" t="s"/>
      <c r="Q36" s="327" t="s"/>
      <c r="R36" s="327" t="s"/>
      <c r="S36" s="327" t="s"/>
      <c r="T36" s="327" t="s"/>
      <c r="U36" s="327" t="s"/>
      <c r="V36" s="327" t="s"/>
      <c r="W36" s="327" t="s"/>
    </row>
    <row r="37" spans="1:23" ht="37.5" customHeight="1">
      <c r="A37" s="104" t="s"/>
      <c r="B37" s="214" t="s"/>
      <c r="C37" s="214" t="s"/>
      <c r="D37" s="333" t="s">
        <v>56</v>
      </c>
      <c r="E37" s="352" t="s">
        <v>89</v>
      </c>
      <c r="F37" s="353">
        <v>6</v>
      </c>
      <c r="G37" s="354">
        <v>3</v>
      </c>
      <c r="H37" s="355">
        <v>1.41</v>
      </c>
      <c r="I37" s="356">
        <f>(F37-G37)/F37*100%</f>
        <v>0.5</v>
      </c>
      <c r="J37" s="310">
        <f>H37/(G37-1)*(F37-G37)</f>
        <v>2.115</v>
      </c>
      <c r="K37" s="326" t="s"/>
      <c r="L37" s="327" t="s"/>
      <c r="M37" s="327" t="s"/>
      <c r="N37" s="327" t="s"/>
      <c r="O37" s="327" t="s"/>
      <c r="P37" s="327" t="s"/>
      <c r="Q37" s="327" t="s"/>
      <c r="R37" s="327" t="s"/>
      <c r="S37" s="327" t="s"/>
      <c r="T37" s="327" t="s"/>
      <c r="U37" s="327" t="s"/>
      <c r="V37" s="327" t="s"/>
      <c r="W37" s="327" t="s"/>
    </row>
    <row r="38" spans="1:11" ht="37.5" customHeight="1">
      <c r="A38" s="104" t="s"/>
      <c r="B38" s="364">
        <v>4</v>
      </c>
      <c r="C38" s="365" t="s">
        <v>88</v>
      </c>
      <c r="D38" s="363" t="s">
        <v>183</v>
      </c>
      <c r="E38" s="366" t="s">
        <v>89</v>
      </c>
      <c r="F38" s="367">
        <v>8</v>
      </c>
      <c r="G38" s="368">
        <v>4</v>
      </c>
      <c r="H38" s="369">
        <v>0.89</v>
      </c>
      <c r="I38" s="370">
        <f>(F38-G38)/F38*100%</f>
        <v>0.5</v>
      </c>
      <c r="J38" s="371">
        <f>H38/(G38-1)*(F38-G38)</f>
        <v>1.18666666666667</v>
      </c>
      <c r="K38" s="372" t="s"/>
    </row>
    <row r="39" spans="1:11" ht="37.5" customHeight="1">
      <c r="A39" s="104" t="s"/>
      <c r="B39" s="107" t="s"/>
      <c r="C39" s="107" t="s"/>
      <c r="D39" s="333" t="s">
        <v>137</v>
      </c>
      <c r="E39" s="366" t="s">
        <v>89</v>
      </c>
      <c r="F39" s="368">
        <v>8</v>
      </c>
      <c r="G39" s="368">
        <v>4</v>
      </c>
      <c r="H39" s="369">
        <v>0.84</v>
      </c>
      <c r="I39" s="370">
        <f>(F39-G39)/F39*100%</f>
        <v>0.5</v>
      </c>
      <c r="J39" s="371">
        <f>H39/(G39-1)*(F39-G39)</f>
        <v>1.12</v>
      </c>
      <c r="K39" s="372" t="s"/>
    </row>
    <row r="40" spans="1:23" s="931" customFormat="1" ht="37.5" hidden="1" customHeight="1">
      <c r="A40" s="104" t="s"/>
      <c r="B40" s="328">
        <v>5</v>
      </c>
      <c r="C40" s="352" t="s">
        <v>326</v>
      </c>
      <c r="D40" s="283" t="s"/>
      <c r="E40" s="352" t="s">
        <v>89</v>
      </c>
      <c r="F40" s="353">
        <v>5</v>
      </c>
      <c r="G40" s="353">
        <v>4</v>
      </c>
      <c r="H40" s="355">
        <v>0.95</v>
      </c>
      <c r="I40" s="356">
        <f>(F40-G40)/F40*100%</f>
        <v>0.2</v>
      </c>
      <c r="J40" s="357">
        <f>H40/(G40-1)*(F40-G40)</f>
        <v>0.316666666666667</v>
      </c>
      <c r="K40" s="326" t="s"/>
      <c r="L40" s="373" t="s"/>
      <c r="M40" s="373" t="s"/>
      <c r="N40" s="373" t="s"/>
      <c r="O40" s="373" t="s"/>
      <c r="P40" s="373" t="s"/>
      <c r="Q40" s="373" t="s"/>
      <c r="R40" s="373" t="s"/>
      <c r="S40" s="373" t="s"/>
      <c r="T40" s="373" t="s"/>
      <c r="U40" s="373" t="s"/>
      <c r="V40" s="373" t="s"/>
      <c r="W40" s="373" t="s"/>
    </row>
    <row r="41" spans="1:23" s="931" customFormat="1" ht="37.5" hidden="1" customHeight="1">
      <c r="A41" s="214" t="s"/>
      <c r="B41" s="214" t="s"/>
      <c r="C41" s="300" t="s"/>
      <c r="D41" s="374" t="s"/>
      <c r="E41" s="375" t="s"/>
      <c r="F41" s="376" t="s"/>
      <c r="G41" s="377" t="s"/>
      <c r="H41" s="378" t="s"/>
      <c r="I41" s="304" t="s"/>
      <c r="J41" s="310" t="s"/>
      <c r="K41" s="379" t="s"/>
      <c r="L41" s="373" t="s"/>
      <c r="M41" s="373" t="s"/>
      <c r="N41" s="373" t="s"/>
      <c r="O41" s="373" t="s"/>
      <c r="P41" s="373" t="s"/>
      <c r="Q41" s="373" t="s"/>
      <c r="R41" s="373" t="s"/>
      <c r="S41" s="373" t="s"/>
      <c r="T41" s="373" t="s"/>
      <c r="U41" s="373" t="s"/>
      <c r="V41" s="373" t="s"/>
      <c r="W41" s="373" t="s"/>
    </row>
    <row r="42" spans="1:23" ht="37.5" customHeight="1">
      <c r="A42" s="298" t="s">
        <v>327</v>
      </c>
      <c r="B42" s="328">
        <v>1</v>
      </c>
      <c r="C42" s="300" t="s">
        <v>328</v>
      </c>
      <c r="D42" s="93" t="s"/>
      <c r="E42" s="352" t="s">
        <v>329</v>
      </c>
      <c r="F42" s="362">
        <v>40</v>
      </c>
      <c r="G42" s="352">
        <v>3</v>
      </c>
      <c r="H42" s="380">
        <v>1.52</v>
      </c>
      <c r="I42" s="381">
        <f>(F42-G42)/F42*100%</f>
        <v>0.925</v>
      </c>
      <c r="J42" s="357">
        <f>H42/(G42-1)*(F42-G42)</f>
        <v>28.12</v>
      </c>
      <c r="K42" s="382" t="s"/>
      <c r="L42" s="327" t="s"/>
      <c r="M42" s="327" t="s"/>
      <c r="N42" s="327" t="s"/>
      <c r="O42" s="327" t="s"/>
      <c r="P42" s="327" t="s"/>
      <c r="Q42" s="327" t="s"/>
      <c r="R42" s="327" t="s"/>
      <c r="S42" s="327" t="s"/>
      <c r="T42" s="327" t="s"/>
      <c r="U42" s="327" t="s"/>
      <c r="V42" s="327" t="s"/>
      <c r="W42" s="327" t="s"/>
    </row>
    <row r="43" spans="1:23" ht="37.5" customHeight="1">
      <c r="A43" s="104" t="s"/>
      <c r="B43" s="107" t="s"/>
      <c r="C43" s="109" t="s"/>
      <c r="D43" s="110" t="s"/>
      <c r="E43" s="352" t="s">
        <v>330</v>
      </c>
      <c r="F43" s="107" t="s"/>
      <c r="G43" s="352">
        <v>4</v>
      </c>
      <c r="H43" s="380">
        <v>2.28</v>
      </c>
      <c r="I43" s="381">
        <f>(F42-G43)/F42*100%</f>
        <v>0.9</v>
      </c>
      <c r="J43" s="357">
        <f>H43/(G43-1)*(F42-G43)</f>
        <v>27.36</v>
      </c>
      <c r="K43" s="107" t="s"/>
      <c r="L43" s="327" t="s"/>
      <c r="M43" s="327" t="s"/>
      <c r="N43" s="327" t="s"/>
      <c r="O43" s="327" t="s"/>
      <c r="P43" s="327" t="s"/>
      <c r="Q43" s="327" t="s"/>
      <c r="R43" s="327" t="s"/>
      <c r="S43" s="327" t="s"/>
      <c r="T43" s="327" t="s"/>
      <c r="U43" s="327" t="s"/>
      <c r="V43" s="327" t="s"/>
      <c r="W43" s="327" t="s"/>
    </row>
    <row r="44" spans="1:23" s="933" ht="37.5" customHeight="1">
      <c r="A44" s="104" t="s"/>
      <c r="B44" s="328">
        <v>2</v>
      </c>
      <c r="C44" s="383" t="s">
        <v>229</v>
      </c>
      <c r="D44" s="93" t="s"/>
      <c r="E44" s="352" t="s">
        <v>230</v>
      </c>
      <c r="F44" s="354">
        <v>10</v>
      </c>
      <c r="G44" s="354">
        <v>4</v>
      </c>
      <c r="H44" s="355">
        <v>2.08</v>
      </c>
      <c r="I44" s="356">
        <f>(F44-G44)/F44*100%</f>
        <v>0.6</v>
      </c>
      <c r="J44" s="357">
        <f>H44/(G44-1)*(F44-G44)</f>
        <v>4.16</v>
      </c>
      <c r="K44" s="326" t="s"/>
      <c r="L44" s="327" t="s"/>
      <c r="M44" s="327" t="s"/>
      <c r="N44" s="327" t="s"/>
      <c r="O44" s="327" t="s"/>
      <c r="P44" s="327" t="s"/>
      <c r="Q44" s="327" t="s"/>
      <c r="R44" s="327" t="s"/>
      <c r="S44" s="327" t="s"/>
      <c r="T44" s="327" t="s"/>
      <c r="U44" s="327" t="s"/>
      <c r="V44" s="327" t="s"/>
      <c r="W44" s="327" t="s"/>
    </row>
    <row r="45" spans="1:23" s="933" ht="37.5" customHeight="1">
      <c r="A45" s="361" t="s"/>
      <c r="B45" s="107" t="s"/>
      <c r="C45" s="109" t="s"/>
      <c r="D45" s="110" t="s"/>
      <c r="E45" s="352" t="s">
        <v>331</v>
      </c>
      <c r="F45" s="354">
        <v>10</v>
      </c>
      <c r="G45" s="354">
        <v>4</v>
      </c>
      <c r="H45" s="355">
        <v>1.68</v>
      </c>
      <c r="I45" s="356">
        <f>(F45-G45)/F45*100%</f>
        <v>0.6</v>
      </c>
      <c r="J45" s="357">
        <f>H45/(G45-1)*(F45-G45)</f>
        <v>3.36</v>
      </c>
      <c r="K45" s="326" t="s"/>
      <c r="L45" s="327" t="s"/>
      <c r="M45" s="327" t="s"/>
      <c r="N45" s="327" t="s"/>
      <c r="O45" s="327" t="s"/>
      <c r="P45" s="327" t="s"/>
      <c r="Q45" s="327" t="s"/>
      <c r="R45" s="327" t="s"/>
      <c r="S45" s="327" t="s"/>
      <c r="T45" s="327" t="s"/>
      <c r="U45" s="327" t="s"/>
      <c r="V45" s="327" t="s"/>
      <c r="W45" s="327" t="s"/>
    </row>
    <row r="46" spans="1:23" s="931" customFormat="1" ht="37.5" customHeight="1">
      <c r="A46" s="104" t="s"/>
      <c r="B46" s="289">
        <v>3</v>
      </c>
      <c r="C46" s="352" t="s">
        <v>332</v>
      </c>
      <c r="D46" s="311" t="s"/>
      <c r="E46" s="311" t="s"/>
      <c r="F46" s="384">
        <v>20</v>
      </c>
      <c r="G46" s="384">
        <v>6</v>
      </c>
      <c r="H46" s="380">
        <v>1.23</v>
      </c>
      <c r="I46" s="356">
        <f>(F46-G46)/F46*100%</f>
        <v>0.7</v>
      </c>
      <c r="J46" s="357">
        <f>H46/(G46-1)*(F46-G46)</f>
        <v>3.444</v>
      </c>
      <c r="K46" s="326" t="s"/>
      <c r="L46" s="373" t="s"/>
      <c r="M46" s="373" t="s"/>
      <c r="N46" s="373" t="s"/>
      <c r="O46" s="373" t="s"/>
      <c r="P46" s="373" t="s"/>
      <c r="Q46" s="373" t="s"/>
      <c r="R46" s="373" t="s"/>
      <c r="S46" s="373" t="s"/>
      <c r="T46" s="373" t="s"/>
      <c r="U46" s="373" t="s"/>
      <c r="V46" s="373" t="s"/>
      <c r="W46" s="373" t="s"/>
    </row>
    <row r="47" spans="1:23" ht="37.5" customHeight="1">
      <c r="A47" s="104" t="s"/>
      <c r="B47" s="289">
        <v>4</v>
      </c>
      <c r="C47" s="352" t="s">
        <v>333</v>
      </c>
      <c r="D47" s="311" t="s"/>
      <c r="E47" s="352" t="s">
        <v>197</v>
      </c>
      <c r="F47" s="354">
        <v>10</v>
      </c>
      <c r="G47" s="353">
        <v>5</v>
      </c>
      <c r="H47" s="355">
        <v>1.72</v>
      </c>
      <c r="I47" s="356">
        <f>(F47-G47)/F47*100%</f>
        <v>0.5</v>
      </c>
      <c r="J47" s="357">
        <f>H47/(G47-1)*(F47-G47)</f>
        <v>2.15</v>
      </c>
      <c r="K47" s="326" t="s"/>
      <c r="L47" s="327" t="s"/>
      <c r="M47" s="327" t="s"/>
      <c r="N47" s="327" t="s"/>
      <c r="O47" s="327" t="s"/>
      <c r="P47" s="327" t="s"/>
      <c r="Q47" s="327" t="s"/>
      <c r="R47" s="327" t="s"/>
      <c r="S47" s="327" t="s"/>
      <c r="T47" s="327" t="s"/>
      <c r="U47" s="327" t="s"/>
      <c r="V47" s="327" t="s"/>
      <c r="W47" s="327" t="s"/>
    </row>
    <row r="48" spans="1:23" ht="37.5" customHeight="1">
      <c r="A48" s="214" t="s"/>
      <c r="B48" s="385" t="s"/>
      <c r="C48" s="386" t="s"/>
      <c r="D48" s="386" t="s"/>
      <c r="E48" s="362" t="s">
        <v>49</v>
      </c>
      <c r="F48" s="387">
        <v>10</v>
      </c>
      <c r="G48" s="388">
        <v>5</v>
      </c>
      <c r="H48" s="389">
        <v>1.72</v>
      </c>
      <c r="I48" s="390" t="s"/>
      <c r="J48" s="391">
        <f>H48/(G48-1)*(F48-G48)</f>
        <v>2.15</v>
      </c>
      <c r="K48" s="382" t="s"/>
      <c r="L48" s="327" t="s"/>
      <c r="M48" s="327" t="s"/>
      <c r="N48" s="327" t="s"/>
      <c r="O48" s="327" t="s"/>
      <c r="P48" s="327" t="s"/>
      <c r="Q48" s="327" t="s"/>
      <c r="R48" s="327" t="s"/>
      <c r="S48" s="327" t="s"/>
      <c r="T48" s="327" t="s"/>
      <c r="U48" s="327" t="s"/>
      <c r="V48" s="327" t="s"/>
      <c r="W48" s="327" t="s"/>
    </row>
    <row r="49" spans="1:23" s="931" customFormat="1" ht="37.5" customHeight="1">
      <c r="A49" s="392" t="s">
        <v>334</v>
      </c>
      <c r="B49" s="289">
        <v>1</v>
      </c>
      <c r="C49" s="352" t="s">
        <v>270</v>
      </c>
      <c r="D49" s="311" t="s"/>
      <c r="E49" s="311" t="s"/>
      <c r="F49" s="354">
        <v>12</v>
      </c>
      <c r="G49" s="354">
        <v>4</v>
      </c>
      <c r="H49" s="355">
        <v>2.3</v>
      </c>
      <c r="I49" s="356">
        <f>(F49-G49)/F49*100%</f>
        <v>0.666666666666667</v>
      </c>
      <c r="J49" s="380">
        <f>H49/(G49-1)*(F49-G49)</f>
        <v>6.13333333333333</v>
      </c>
      <c r="K49" s="326" t="s"/>
      <c r="L49" s="373" t="s"/>
      <c r="M49" s="373" t="s"/>
      <c r="N49" s="373" t="s"/>
      <c r="O49" s="373" t="s"/>
      <c r="P49" s="373" t="s"/>
      <c r="Q49" s="373" t="s"/>
      <c r="R49" s="373" t="s"/>
      <c r="S49" s="373" t="s"/>
      <c r="T49" s="373" t="s"/>
      <c r="U49" s="373" t="s"/>
      <c r="V49" s="373" t="s"/>
      <c r="W49" s="373" t="s"/>
    </row>
    <row r="50" spans="1:23" ht="37.5" customHeight="1">
      <c r="A50" s="45" t="s"/>
      <c r="B50" s="289">
        <v>2</v>
      </c>
      <c r="C50" s="352" t="s">
        <v>294</v>
      </c>
      <c r="D50" s="311" t="s"/>
      <c r="E50" s="352" t="s">
        <v>295</v>
      </c>
      <c r="F50" s="354">
        <v>7</v>
      </c>
      <c r="G50" s="353">
        <v>3</v>
      </c>
      <c r="H50" s="355">
        <v>2.73</v>
      </c>
      <c r="I50" s="356">
        <f>(F50-G50)/F50*100%</f>
        <v>0.571428571428572</v>
      </c>
      <c r="J50" s="380">
        <f>H50/(G50-1)*(F50-G50)</f>
        <v>5.46</v>
      </c>
      <c r="K50" s="326" t="s"/>
      <c r="L50" s="327" t="s"/>
      <c r="M50" s="327" t="s"/>
      <c r="N50" s="327" t="s"/>
      <c r="O50" s="327" t="s"/>
      <c r="P50" s="327" t="s"/>
      <c r="Q50" s="327" t="s"/>
      <c r="R50" s="327" t="s"/>
      <c r="S50" s="327" t="s"/>
      <c r="T50" s="327" t="s"/>
      <c r="U50" s="327" t="s"/>
      <c r="V50" s="327" t="s"/>
      <c r="W50" s="327" t="s"/>
    </row>
    <row r="51" spans="1:23" ht="37.5" customHeight="1">
      <c r="A51" s="45" t="s"/>
      <c r="B51" s="322" t="s"/>
      <c r="C51" s="311" t="s"/>
      <c r="D51" s="311" t="s"/>
      <c r="E51" s="352" t="s">
        <v>49</v>
      </c>
      <c r="F51" s="354">
        <v>7</v>
      </c>
      <c r="G51" s="353">
        <v>3</v>
      </c>
      <c r="H51" s="355">
        <v>3.21</v>
      </c>
      <c r="I51" s="283" t="s"/>
      <c r="J51" s="380">
        <f>H51/(G51-1)*(F51-G51)</f>
        <v>6.42</v>
      </c>
      <c r="K51" s="326" t="s"/>
      <c r="L51" s="327" t="s"/>
      <c r="M51" s="327" t="s"/>
      <c r="N51" s="327" t="s"/>
      <c r="O51" s="327" t="s"/>
      <c r="P51" s="327" t="s"/>
      <c r="Q51" s="327" t="s"/>
      <c r="R51" s="327" t="s"/>
      <c r="S51" s="327" t="s"/>
      <c r="T51" s="327" t="s"/>
      <c r="U51" s="327" t="s"/>
      <c r="V51" s="327" t="s"/>
      <c r="W51" s="327" t="s"/>
    </row>
    <row r="52" spans="1:23" ht="37.5" customHeight="1">
      <c r="A52" s="45" t="s"/>
      <c r="B52" s="289">
        <v>3</v>
      </c>
      <c r="C52" s="352" t="s">
        <v>285</v>
      </c>
      <c r="D52" s="311" t="s"/>
      <c r="E52" s="311" t="s"/>
      <c r="F52" s="352">
        <v>4</v>
      </c>
      <c r="G52" s="384">
        <v>2</v>
      </c>
      <c r="H52" s="380">
        <v>2.15</v>
      </c>
      <c r="I52" s="356">
        <f>(F52-G52)/F52*100%</f>
        <v>0.5</v>
      </c>
      <c r="J52" s="380">
        <f>H52/(G52-1)*(F52-G52)</f>
        <v>4.3</v>
      </c>
      <c r="K52" s="326" t="s"/>
      <c r="L52" s="327" t="s"/>
      <c r="M52" s="327" t="s"/>
      <c r="N52" s="327" t="s"/>
      <c r="O52" s="327" t="s"/>
      <c r="P52" s="327" t="s"/>
      <c r="Q52" s="327" t="s"/>
      <c r="R52" s="327" t="s"/>
      <c r="S52" s="327" t="s"/>
      <c r="T52" s="327" t="s"/>
      <c r="U52" s="327" t="s"/>
      <c r="V52" s="327" t="s"/>
      <c r="W52" s="327" t="s"/>
    </row>
    <row r="53" spans="1:23" ht="37.5" customHeight="1">
      <c r="A53" s="45" t="s"/>
      <c r="B53" s="289">
        <v>4</v>
      </c>
      <c r="C53" s="352" t="s">
        <v>289</v>
      </c>
      <c r="D53" s="311" t="s"/>
      <c r="E53" s="311" t="s"/>
      <c r="F53" s="353">
        <v>6</v>
      </c>
      <c r="G53" s="354">
        <v>3</v>
      </c>
      <c r="H53" s="355">
        <v>2.62</v>
      </c>
      <c r="I53" s="356">
        <f>(F53-G53)/F53*100%</f>
        <v>0.5</v>
      </c>
      <c r="J53" s="380">
        <f>H53/(G53-1)*(F53-G53)</f>
        <v>3.93</v>
      </c>
      <c r="K53" s="326" t="s"/>
      <c r="L53" s="327" t="s"/>
      <c r="M53" s="327" t="s"/>
      <c r="N53" s="327" t="s"/>
      <c r="O53" s="327" t="s"/>
      <c r="P53" s="327" t="s"/>
      <c r="Q53" s="327" t="s"/>
      <c r="R53" s="327" t="s"/>
      <c r="S53" s="327" t="s"/>
      <c r="T53" s="327" t="s"/>
      <c r="U53" s="327" t="s"/>
      <c r="V53" s="327" t="s"/>
      <c r="W53" s="327" t="s"/>
    </row>
    <row r="54" spans="1:23" ht="37.5" customHeight="1">
      <c r="A54" s="45" t="s"/>
      <c r="B54" s="289">
        <v>5</v>
      </c>
      <c r="C54" s="352" t="s">
        <v>335</v>
      </c>
      <c r="D54" s="311" t="s"/>
      <c r="E54" s="353" t="s">
        <v>336</v>
      </c>
      <c r="F54" s="354">
        <v>9</v>
      </c>
      <c r="G54" s="384">
        <v>4</v>
      </c>
      <c r="H54" s="380">
        <v>2.55</v>
      </c>
      <c r="I54" s="356">
        <f>(F54-G54)/F54*100%</f>
        <v>0.555555555555556</v>
      </c>
      <c r="J54" s="380">
        <f>H54/(G54)*(F54-G54)</f>
        <v>3.1875</v>
      </c>
      <c r="K54" s="393" t="s"/>
      <c r="L54" s="257" t="s"/>
      <c r="M54" s="257" t="s"/>
      <c r="N54" s="257" t="s"/>
      <c r="O54" s="257" t="s"/>
      <c r="P54" s="257" t="s"/>
      <c r="Q54" s="257" t="s"/>
      <c r="R54" s="257" t="s"/>
      <c r="S54" s="257" t="s"/>
      <c r="T54" s="257" t="s"/>
      <c r="U54" s="257" t="s"/>
      <c r="V54" s="257" t="s"/>
      <c r="W54" s="257" t="s"/>
    </row>
    <row r="55" spans="1:23" ht="37.5" customHeight="1">
      <c r="A55" s="45" t="s"/>
      <c r="B55" s="385" t="s"/>
      <c r="C55" s="386" t="s"/>
      <c r="D55" s="386" t="s"/>
      <c r="E55" s="362" t="s">
        <v>49</v>
      </c>
      <c r="F55" s="387">
        <v>9</v>
      </c>
      <c r="G55" s="387">
        <v>2</v>
      </c>
      <c r="H55" s="355">
        <v>2.47</v>
      </c>
      <c r="I55" s="356">
        <v>0.77</v>
      </c>
      <c r="J55" s="380">
        <f>H55/(G55)*(F55-G55)</f>
        <v>8.645</v>
      </c>
      <c r="K55" s="393" t="s"/>
      <c r="L55" s="257" t="s"/>
      <c r="M55" s="257" t="s"/>
      <c r="N55" s="257" t="s"/>
      <c r="O55" s="257" t="s"/>
      <c r="P55" s="257" t="s"/>
      <c r="Q55" s="257" t="s"/>
      <c r="R55" s="257" t="s"/>
      <c r="S55" s="257" t="s"/>
      <c r="T55" s="257" t="s"/>
      <c r="U55" s="257" t="s"/>
      <c r="V55" s="257" t="s"/>
      <c r="W55" s="257" t="s"/>
    </row>
    <row r="56" spans="1:23" ht="37.5" customHeight="1">
      <c r="A56" s="394" t="s"/>
      <c r="B56" s="289">
        <v>6</v>
      </c>
      <c r="C56" s="352" t="s">
        <v>337</v>
      </c>
      <c r="D56" s="311" t="s"/>
      <c r="E56" s="353" t="s">
        <v>336</v>
      </c>
      <c r="F56" s="354">
        <v>9</v>
      </c>
      <c r="G56" s="384">
        <v>5</v>
      </c>
      <c r="H56" s="395">
        <v>3.31</v>
      </c>
      <c r="I56" s="356">
        <f>(F56-G56)/F56*100%</f>
        <v>0.444444444444445</v>
      </c>
      <c r="J56" s="380">
        <f>H56/(G56)*(F56-G56)</f>
        <v>2.648</v>
      </c>
      <c r="K56" s="302" t="s"/>
      <c r="L56" s="327" t="s"/>
      <c r="M56" s="327" t="s"/>
      <c r="N56" s="327" t="s"/>
      <c r="O56" s="327" t="s"/>
      <c r="P56" s="327" t="s"/>
      <c r="Q56" s="327" t="s"/>
      <c r="R56" s="327" t="s"/>
      <c r="S56" s="327" t="s"/>
      <c r="T56" s="327" t="s"/>
      <c r="U56" s="327" t="s"/>
      <c r="V56" s="327" t="s"/>
      <c r="W56" s="327" t="s"/>
    </row>
    <row r="57" spans="1:23" ht="37.5" customHeight="1">
      <c r="A57" s="394" t="s"/>
      <c r="B57" s="322" t="s"/>
      <c r="C57" s="311" t="s"/>
      <c r="D57" s="311" t="s"/>
      <c r="E57" s="352" t="s">
        <v>49</v>
      </c>
      <c r="F57" s="354">
        <v>9</v>
      </c>
      <c r="G57" s="354">
        <v>3</v>
      </c>
      <c r="H57" s="396">
        <v>4.1</v>
      </c>
      <c r="I57" s="356">
        <v>0.66</v>
      </c>
      <c r="J57" s="380">
        <f>H57/(G57)*(F57-G57)</f>
        <v>8.2</v>
      </c>
      <c r="K57" s="326" t="s"/>
      <c r="L57" s="327" t="s"/>
      <c r="M57" s="327" t="s"/>
      <c r="N57" s="327" t="s"/>
      <c r="O57" s="327" t="s"/>
      <c r="P57" s="327" t="s"/>
      <c r="Q57" s="327" t="s"/>
      <c r="R57" s="327" t="s"/>
      <c r="S57" s="327" t="s"/>
      <c r="T57" s="327" t="s"/>
      <c r="U57" s="327" t="s"/>
      <c r="V57" s="327" t="s"/>
      <c r="W57" s="327" t="s"/>
    </row>
    <row r="58" spans="1:23" ht="37.5" customHeight="1">
      <c r="A58" s="394" t="s"/>
      <c r="B58" s="289">
        <v>7</v>
      </c>
      <c r="C58" s="352" t="s">
        <v>182</v>
      </c>
      <c r="D58" s="45" t="s"/>
      <c r="E58" s="397" t="s">
        <v>183</v>
      </c>
      <c r="F58" s="352">
        <v>8</v>
      </c>
      <c r="G58" s="384">
        <v>4</v>
      </c>
      <c r="H58" s="395">
        <v>1.08</v>
      </c>
      <c r="I58" s="356">
        <f>(F58-G58)/F58*100%</f>
        <v>0.5</v>
      </c>
      <c r="J58" s="380">
        <f>H58/(G58-1)*(F58-G58)</f>
        <v>1.44</v>
      </c>
      <c r="K58" s="337" t="s"/>
      <c r="L58" s="321" t="s"/>
      <c r="M58" s="321" t="s"/>
      <c r="N58" s="321" t="s"/>
      <c r="O58" s="321" t="s"/>
      <c r="P58" s="321" t="s"/>
      <c r="Q58" s="321" t="s"/>
      <c r="R58" s="321" t="s"/>
      <c r="S58" s="321" t="s"/>
      <c r="T58" s="321" t="s"/>
      <c r="U58" s="321" t="s"/>
      <c r="V58" s="321" t="s"/>
      <c r="W58" s="321" t="s"/>
    </row>
    <row r="59" spans="1:23" ht="37.5" customHeight="1">
      <c r="A59" s="394" t="s"/>
      <c r="B59" s="45" t="s"/>
      <c r="C59" s="45" t="s"/>
      <c r="D59" s="45" t="s"/>
      <c r="E59" s="397" t="s">
        <v>56</v>
      </c>
      <c r="F59" s="352">
        <v>10</v>
      </c>
      <c r="G59" s="384">
        <v>4</v>
      </c>
      <c r="H59" s="395">
        <v>1.08</v>
      </c>
      <c r="I59" s="356">
        <f>(F59-G59)/F59*100%</f>
        <v>0.6</v>
      </c>
      <c r="J59" s="380">
        <f>H59/(G59-1)*(F59-G59)</f>
        <v>2.16</v>
      </c>
      <c r="K59" s="337" t="s"/>
      <c r="L59" s="321" t="s"/>
      <c r="M59" s="321" t="s"/>
      <c r="N59" s="321" t="s"/>
      <c r="O59" s="321" t="s"/>
      <c r="P59" s="321" t="s"/>
      <c r="Q59" s="321" t="s"/>
      <c r="R59" s="321" t="s"/>
      <c r="S59" s="321" t="s"/>
      <c r="T59" s="321" t="s"/>
      <c r="U59" s="321" t="s"/>
      <c r="V59" s="321" t="s"/>
      <c r="W59" s="321" t="s"/>
    </row>
    <row r="60" spans="3:9">
      <c r="C60" s="398" t="s"/>
      <c r="D60" s="398" t="s"/>
      <c r="E60" s="398" t="s"/>
      <c r="F60" s="398" t="s"/>
      <c r="G60" s="398" t="s"/>
      <c r="H60" s="398" t="s"/>
      <c r="I60" s="399" t="s"/>
    </row>
    <row r="61" spans="3:9">
      <c r="C61" s="398" t="s"/>
      <c r="D61" s="398" t="s"/>
      <c r="E61" s="398" t="s"/>
      <c r="F61" s="398" t="s"/>
      <c r="G61" s="398" t="s"/>
      <c r="H61" s="398" t="s"/>
      <c r="I61" s="399" t="s"/>
    </row>
    <row r="62" spans="3:9" s="933">
      <c r="C62" s="398" t="s"/>
      <c r="D62" s="398" t="s"/>
      <c r="E62" s="398" t="s"/>
      <c r="F62" s="398" t="s"/>
      <c r="G62" s="398" t="s"/>
      <c r="H62" s="398" t="s"/>
      <c r="I62" s="399" t="s"/>
    </row>
    <row r="63" spans="3:9">
      <c r="C63" s="398" t="s"/>
      <c r="D63" s="398" t="s"/>
      <c r="E63" s="398" t="s"/>
      <c r="F63" s="398" t="s"/>
      <c r="G63" s="398" t="s"/>
      <c r="H63" s="398" t="s"/>
      <c r="I63" s="399" t="s"/>
    </row>
    <row r="64" spans="3:9">
      <c r="C64" s="398" t="s"/>
      <c r="D64" s="398" t="s"/>
      <c r="E64" s="398" t="s"/>
      <c r="F64" s="398" t="s"/>
      <c r="G64" s="398" t="s"/>
      <c r="H64" s="398" t="s"/>
      <c r="I64" s="399" t="s"/>
    </row>
    <row r="65" spans="3:9">
      <c r="C65" s="398" t="s"/>
      <c r="D65" s="398" t="s"/>
      <c r="E65" s="398" t="s"/>
      <c r="F65" s="398" t="s"/>
      <c r="G65" s="398" t="s"/>
      <c r="H65" s="398" t="s"/>
      <c r="I65" s="399" t="s"/>
    </row>
    <row r="66" spans="3:9">
      <c r="C66" s="398" t="s"/>
      <c r="D66" s="398" t="s"/>
      <c r="E66" s="398" t="s"/>
      <c r="F66" s="398" t="s"/>
      <c r="G66" s="398" t="s"/>
      <c r="H66" s="398" t="s"/>
      <c r="I66" s="399" t="s"/>
    </row>
    <row r="67" spans="3:9">
      <c r="C67" s="398" t="s"/>
      <c r="D67" s="398" t="s"/>
      <c r="E67" s="398" t="s"/>
      <c r="F67" s="398" t="s"/>
      <c r="G67" s="398" t="s"/>
      <c r="H67" s="398" t="s"/>
      <c r="I67" s="399" t="s"/>
    </row>
    <row r="68" spans="3:9">
      <c r="C68" s="398" t="s"/>
      <c r="D68" s="398" t="s"/>
      <c r="E68" s="398" t="s"/>
      <c r="F68" s="398" t="s"/>
      <c r="G68" s="398" t="s"/>
      <c r="H68" s="398" t="s"/>
      <c r="I68" s="399" t="s"/>
    </row>
    <row r="71" spans="1:23" ht="37.5" customHeight="1"/>
    <row r="72" spans="1:23" ht="37.5" customHeight="1"/>
    <row r="73" spans="1:23" ht="37.5" customHeight="1"/>
    <row r="74" spans="1:23" ht="37.5" customHeight="1"/>
    <row r="75" spans="1:23" ht="37.5" customHeight="1"/>
    <row r="76" spans="1:23" ht="37.5" customHeight="1"/>
    <row r="77" spans="1:23" ht="37.5" customHeight="1"/>
    <row r="78" spans="1:23" ht="37.5" customHeight="1"/>
    <row r="79" spans="1:23" ht="37.5" customHeight="1"/>
    <row r="80" spans="1:23" ht="37.5" customHeight="1"/>
    <row r="81" spans="1:23" ht="37.5" customHeight="1"/>
    <row r="82" spans="1:23" ht="37.5" customHeight="1"/>
    <row r="83" spans="1:23" ht="37.5" customHeight="1"/>
    <row r="84" spans="1:23" ht="37.5" customHeight="1"/>
    <row r="85" spans="1:23" ht="37.5" customHeight="1"/>
    <row r="86" spans="1:23" ht="37.5" customHeight="1"/>
    <row r="87" spans="1:23" ht="37.5" customHeight="1"/>
    <row r="88" spans="1:23" ht="37.5" customHeight="1"/>
    <row r="89" spans="1:23" ht="37.5" customHeight="1"/>
    <row r="90" spans="1:23" ht="37.5" customHeight="1"/>
    <row r="91" spans="1:23" ht="37.5" customHeight="1"/>
    <row r="92" spans="1:23" ht="37.5" customHeight="1"/>
    <row r="93" spans="1:23" ht="37.5" customHeight="1"/>
    <row r="94" spans="1:23" ht="37.5" customHeight="1"/>
    <row r="95" spans="1:23" ht="37.5" customHeight="1"/>
    <row r="96" spans="1:23" ht="37.5" customHeight="1"/>
    <row r="97" spans="1:23" ht="37.5" customHeight="1"/>
    <row r="98" spans="1:23" ht="37.5" customHeight="1"/>
    <row r="99" spans="1:23" ht="37.5" customHeight="1"/>
    <row r="100" spans="1:23" ht="37.5" customHeight="1"/>
    <row r="101" spans="1:23" ht="37.5" customHeight="1"/>
    <row r="102" spans="1:23" ht="37.5" customHeight="1"/>
    <row r="103" spans="1:23" ht="37.5" customHeight="1"/>
    <row r="104" spans="1:23" ht="37.5" customHeight="1"/>
    <row r="105" spans="1:23" ht="37.5" customHeight="1"/>
    <row r="106" spans="1:23" ht="37.5" customHeight="1"/>
    <row r="107" spans="1:23" ht="37.5" customHeight="1"/>
    <row r="108" spans="1:23" ht="37.5" customHeight="1"/>
    <row r="109" spans="1:23" ht="37.5" customHeight="1"/>
    <row r="110" spans="1:23" ht="37.5" customHeight="1"/>
    <row r="111" spans="1:23" ht="37.5" customHeight="1"/>
    <row r="112" spans="1:23" ht="37.5" customHeight="1"/>
    <row r="113" spans="1:23" ht="37.5" customHeight="1"/>
    <row r="114" spans="1:23" ht="37.5" customHeight="1"/>
    <row r="115" spans="1:23" ht="37.5" customHeight="1"/>
    <row r="116" spans="1:23" ht="37.5" customHeight="1"/>
    <row r="117" spans="1:23" ht="37.5" customHeight="1"/>
    <row r="118" spans="1:23" ht="37.5" customHeight="1"/>
    <row r="119" spans="1:23" ht="37.5" customHeight="1"/>
    <row r="120" spans="1:23" ht="37.5" customHeight="1"/>
    <row r="121" spans="1:23" ht="37.5" customHeight="1"/>
    <row r="122" spans="1:23" ht="37.5" customHeight="1"/>
    <row r="123" spans="1:23" ht="37.5" customHeight="1"/>
    <row r="124" spans="1:23" ht="37.5" customHeight="1"/>
    <row r="125" spans="1:23" ht="37.5" customHeight="1"/>
    <row r="126" spans="1:23" ht="37.5" customHeight="1"/>
    <row r="127" spans="1:23" ht="37.5" customHeight="1"/>
    <row r="128" spans="1:23" ht="37.5" customHeight="1"/>
    <row r="129" spans="1:23" ht="37.5" customHeight="1"/>
    <row r="130" spans="1:23" ht="37.5" customHeight="1"/>
    <row r="131" spans="1:23" ht="37.5" customHeight="1"/>
    <row r="132" spans="1:23" ht="37.5" customHeight="1"/>
    <row r="133" spans="1:23" ht="37.5" customHeight="1"/>
    <row r="134" spans="1:23" ht="37.5" customHeight="1"/>
    <row r="135" spans="1:23" ht="37.5" customHeight="1"/>
    <row r="136" spans="1:23" ht="37.5" customHeight="1"/>
    <row r="137" spans="1:23" ht="37.5" customHeight="1"/>
    <row r="138" spans="1:23" ht="37.5" customHeight="1"/>
    <row r="139" spans="1:23" ht="37.5" customHeight="1"/>
    <row r="140" spans="1:23" ht="37.5" customHeight="1"/>
    <row r="141" spans="1:23" ht="37.5" customHeight="1"/>
    <row r="142" spans="1:23" ht="37.5" customHeight="1"/>
    <row r="143" spans="1:23" ht="37.5" customHeight="1"/>
    <row r="144" spans="1:23" ht="37.5" customHeight="1"/>
    <row r="145" spans="1:23" ht="37.5" customHeight="1"/>
    <row r="146" spans="1:23" ht="37.5" customHeight="1"/>
    <row r="147" spans="1:23" ht="37.5" customHeight="1"/>
    <row r="148" spans="1:23" ht="37.5" customHeight="1"/>
    <row r="149" spans="1:23" ht="37.5" customHeight="1"/>
    <row r="150" spans="1:23" ht="37.5" customHeight="1"/>
    <row r="151" spans="1:23" ht="37.5" customHeight="1"/>
    <row r="152" spans="1:23" ht="37.5" customHeight="1"/>
    <row r="153" spans="1:23" ht="37.5" customHeight="1"/>
    <row r="154" spans="1:23" ht="37.5" customHeight="1"/>
    <row r="155" spans="1:23" ht="37.5" customHeight="1"/>
    <row r="156" spans="1:23" ht="37.5" customHeight="1"/>
    <row r="157" spans="1:23" ht="37.5" customHeight="1"/>
    <row r="158" spans="1:23" ht="37.5" customHeight="1"/>
    <row r="159" spans="1:23" ht="37.5" customHeight="1"/>
    <row r="160" spans="1:23" ht="37.5" customHeight="1"/>
    <row r="161" spans="1:23" ht="37.5" customHeight="1"/>
    <row r="162" spans="1:23" ht="37.5" customHeight="1"/>
    <row r="163" spans="1:23" ht="37.5" customHeight="1"/>
    <row r="164" spans="1:23" ht="37.5" customHeight="1"/>
    <row r="165" spans="1:23" ht="37.5" customHeight="1"/>
    <row r="166" spans="1:23" ht="37.5" customHeight="1"/>
    <row r="167" spans="1:23" ht="37.5" customHeight="1"/>
    <row r="168" spans="1:23" ht="37.5" customHeight="1"/>
    <row r="169" spans="1:23" ht="37.5" customHeight="1"/>
    <row r="170" spans="1:23" ht="37.5" customHeight="1"/>
    <row r="171" spans="1:23" ht="37.5" customHeight="1"/>
    <row r="172" spans="1:23" ht="37.5" customHeight="1"/>
    <row r="173" spans="1:23" ht="37.5" customHeight="1"/>
    <row r="174" spans="1:23" ht="37.5" customHeight="1"/>
    <row r="175" spans="1:23" ht="37.5" customHeight="1"/>
    <row r="176" spans="1:23" ht="37.5" customHeight="1"/>
    <row r="177" spans="1:23" ht="37.5" customHeight="1"/>
    <row r="178" spans="1:23" ht="37.5" customHeight="1"/>
    <row r="179" spans="1:23" ht="37.5" customHeight="1"/>
    <row r="180" spans="1:23" ht="37.5" customHeight="1"/>
    <row r="181" spans="1:23" ht="37.5" customHeight="1"/>
    <row r="182" spans="1:23" ht="37.5" customHeight="1"/>
    <row r="183" spans="1:23" ht="37.5" customHeight="1"/>
    <row r="184" spans="1:23" ht="37.5" customHeight="1"/>
    <row r="185" spans="1:23" ht="37.5" customHeight="1"/>
    <row r="186" spans="1:23" ht="37.5" customHeight="1"/>
    <row r="187" spans="1:23" ht="37.5" customHeight="1"/>
    <row r="188" spans="1:23" ht="37.5" customHeight="1"/>
    <row r="189" spans="1:23" ht="37.5" customHeight="1"/>
    <row r="190" spans="1:23" ht="37.5" customHeight="1"/>
    <row r="191" spans="1:23" ht="37.5" customHeight="1"/>
    <row r="192" spans="1:23" ht="37.5" customHeight="1"/>
    <row r="193" spans="1:23" ht="37.5" customHeight="1"/>
    <row r="194" spans="1:23" ht="37.5" customHeight="1"/>
    <row r="195" spans="1:23" ht="37.5" customHeight="1"/>
    <row r="196" spans="1:23" ht="37.5" customHeight="1"/>
    <row r="197" spans="1:23" ht="37.5" customHeight="1"/>
    <row r="198" spans="1:23" ht="37.5" customHeight="1"/>
  </sheetData>
  <mergeCells count="81">
    <mergeCell ref="F3:F4"/>
    <mergeCell ref="I3:I4"/>
    <mergeCell ref="B3:B4"/>
    <mergeCell ref="C3:E4"/>
    <mergeCell ref="G3:G4"/>
    <mergeCell ref="H3:H4"/>
    <mergeCell ref="A3:A4"/>
    <mergeCell ref="C14:E14"/>
    <mergeCell ref="C16:E16"/>
    <mergeCell ref="C19:E19"/>
    <mergeCell ref="B17:B18"/>
    <mergeCell ref="I17:I18"/>
    <mergeCell ref="B21:B22"/>
    <mergeCell ref="C21:D22"/>
    <mergeCell ref="I21:I22"/>
    <mergeCell ref="C23:E23"/>
    <mergeCell ref="C24:E24"/>
    <mergeCell ref="B31:B32"/>
    <mergeCell ref="C31:D32"/>
    <mergeCell ref="I31:I32"/>
    <mergeCell ref="B25:B26"/>
    <mergeCell ref="C25:D26"/>
    <mergeCell ref="I25:I26"/>
    <mergeCell ref="C33:D33"/>
    <mergeCell ref="C40:D40"/>
    <mergeCell ref="C46:E46"/>
    <mergeCell ref="B47:B48"/>
    <mergeCell ref="C47:D48"/>
    <mergeCell ref="I47:I48"/>
    <mergeCell ref="C49:E49"/>
    <mergeCell ref="B50:B51"/>
    <mergeCell ref="C50:D51"/>
    <mergeCell ref="I50:I51"/>
    <mergeCell ref="C52:E52"/>
    <mergeCell ref="C53:E53"/>
    <mergeCell ref="B54:B55"/>
    <mergeCell ref="C54:D55"/>
    <mergeCell ref="B56:B57"/>
    <mergeCell ref="C56:D57"/>
    <mergeCell ref="C42:D43"/>
    <mergeCell ref="B42:B43"/>
    <mergeCell ref="F42:F43"/>
    <mergeCell ref="C15:E15"/>
    <mergeCell ref="A1:K1"/>
    <mergeCell ref="A2:K2"/>
    <mergeCell ref="J3:J4"/>
    <mergeCell ref="K3:K4"/>
    <mergeCell ref="C38:C39"/>
    <mergeCell ref="B38:B39"/>
    <mergeCell ref="C27:D28"/>
    <mergeCell ref="B27:B28"/>
    <mergeCell ref="A17:A23"/>
    <mergeCell ref="C20:E20"/>
    <mergeCell ref="C29:E29"/>
    <mergeCell ref="B36:B37"/>
    <mergeCell ref="C36:C37"/>
    <mergeCell ref="K42:K43"/>
    <mergeCell ref="B40:B41"/>
    <mergeCell ref="A33:A41"/>
    <mergeCell ref="B34:B35"/>
    <mergeCell ref="C34:D35"/>
    <mergeCell ref="A42:A48"/>
    <mergeCell ref="B44:B45"/>
    <mergeCell ref="C44:D45"/>
    <mergeCell ref="A49:A59"/>
    <mergeCell ref="B58:B59"/>
    <mergeCell ref="C58:D59"/>
    <mergeCell ref="A24:A32"/>
    <mergeCell ref="C30:E30"/>
    <mergeCell ref="B29:B30"/>
    <mergeCell ref="B5:B6"/>
    <mergeCell ref="C5:D6"/>
    <mergeCell ref="C17:E18"/>
    <mergeCell ref="B7:B8"/>
    <mergeCell ref="C7:D8"/>
    <mergeCell ref="B9:B10"/>
    <mergeCell ref="C9:D10"/>
    <mergeCell ref="C11:D12"/>
    <mergeCell ref="B11:B12"/>
    <mergeCell ref="C13:E13"/>
    <mergeCell ref="A5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Z46"/>
  <sheetViews>
    <sheetView showGridLines="1" zoomScale="70" zoomScaleNormal="70" workbookViewId="0"/>
  </sheetViews>
  <sheetFormatPr baseColWidth="8" defaultRowHeight="14"/>
  <cols>
    <col min="1" max="1" width="13.5703" style="938" customWidth="1"/>
    <col min="2" max="2" width="11.1211" style="938" customWidth="1"/>
    <col min="3" max="3" width="6.10938" style="938" customWidth="1"/>
    <col min="4" max="4" width="9.66016" style="938" customWidth="1"/>
    <col min="5" max="5" width="13.4492" style="938" customWidth="1"/>
    <col min="6" max="6" width="13.4492" style="938" customWidth="1"/>
    <col min="7" max="7" width="15" style="938" customWidth="1"/>
    <col min="8" max="8" width="15.1602" style="938" customWidth="1"/>
    <col min="9" max="9" width="24.9141" style="938" customWidth="1"/>
    <col min="10" max="23" width="8.66406" style="938"/>
  </cols>
  <sheetData>
    <row r="1" spans="1:9" ht="70.5" customHeight="1">
      <c r="A1" s="400" t="s">
        <v>625</v>
      </c>
      <c r="B1" s="401" t="s"/>
      <c r="C1" s="401" t="s"/>
      <c r="D1" s="401" t="s"/>
      <c r="E1" s="401" t="s"/>
      <c r="F1" s="401" t="s"/>
      <c r="G1" s="401" t="s"/>
      <c r="H1" s="401" t="s"/>
      <c r="I1" s="401" t="s"/>
    </row>
    <row r="2" spans="1:9" ht="33.75" customHeight="1">
      <c r="A2" s="402" t="s">
        <v>338</v>
      </c>
      <c r="B2" s="122" t="s"/>
      <c r="C2" s="122" t="s"/>
      <c r="D2" s="122" t="s"/>
      <c r="E2" s="122" t="s"/>
      <c r="F2" s="122" t="s"/>
      <c r="G2" s="122" t="s"/>
      <c r="H2" s="123" t="s"/>
      <c r="I2" s="403" t="s"/>
    </row>
    <row r="3" spans="1:9" ht="33.75" customHeight="1">
      <c r="A3" s="404" t="s">
        <v>339</v>
      </c>
      <c r="B3" s="405" t="s">
        <v>306</v>
      </c>
      <c r="C3" s="45" t="s"/>
      <c r="D3" s="45" t="s"/>
      <c r="E3" s="406" t="s">
        <v>340</v>
      </c>
      <c r="F3" s="407" t="s">
        <v>341</v>
      </c>
      <c r="G3" s="408" t="s">
        <v>342</v>
      </c>
      <c r="H3" s="45" t="s"/>
      <c r="I3" s="409" t="s">
        <v>309</v>
      </c>
    </row>
    <row r="4" spans="1:9" ht="59.25" customHeight="1">
      <c r="A4" s="45" t="s"/>
      <c r="B4" s="45" t="s"/>
      <c r="C4" s="45" t="s"/>
      <c r="D4" s="45" t="s"/>
      <c r="E4" s="410" t="s">
        <v>626</v>
      </c>
      <c r="F4" s="411" t="s">
        <v>627</v>
      </c>
      <c r="G4" s="412" t="s">
        <v>628</v>
      </c>
      <c r="H4" s="412" t="s">
        <v>629</v>
      </c>
      <c r="I4" s="45" t="s"/>
    </row>
    <row r="5" spans="1:9" ht="30" customHeight="1">
      <c r="A5" s="413" t="s">
        <v>310</v>
      </c>
      <c r="B5" s="414" t="s">
        <v>172</v>
      </c>
      <c r="C5" s="53" t="s"/>
      <c r="D5" s="53" t="s"/>
      <c r="E5" s="415" t="s">
        <v>124</v>
      </c>
      <c r="F5" s="415" t="s">
        <v>343</v>
      </c>
      <c r="G5" s="416">
        <v>0.87</v>
      </c>
      <c r="H5" s="416">
        <v>0.87</v>
      </c>
      <c r="I5" s="414" t="s"/>
    </row>
    <row r="6" spans="1:9" ht="30" customHeight="1">
      <c r="A6" s="45" t="s"/>
      <c r="B6" s="230" t="s">
        <v>344</v>
      </c>
      <c r="C6" s="53" t="s"/>
      <c r="D6" s="53" t="s"/>
      <c r="E6" s="417" t="s">
        <v>179</v>
      </c>
      <c r="F6" s="417" t="s">
        <v>345</v>
      </c>
      <c r="G6" s="418">
        <v>0.87</v>
      </c>
      <c r="H6" s="416">
        <v>0.87</v>
      </c>
      <c r="I6" s="414" t="s"/>
    </row>
    <row r="7" spans="1:9" ht="30" customHeight="1">
      <c r="A7" s="45" t="s"/>
      <c r="B7" s="230" t="s">
        <v>154</v>
      </c>
      <c r="C7" s="419" t="s"/>
      <c r="D7" s="419" t="s"/>
      <c r="E7" s="417" t="s">
        <v>346</v>
      </c>
      <c r="F7" s="417" t="s">
        <v>347</v>
      </c>
      <c r="G7" s="420">
        <v>0.87</v>
      </c>
      <c r="H7" s="421">
        <v>0.652</v>
      </c>
      <c r="I7" s="422" t="s"/>
    </row>
    <row r="8" spans="1:9" ht="30" customHeight="1">
      <c r="A8" s="45" t="s"/>
      <c r="B8" s="52" t="s">
        <v>117</v>
      </c>
      <c r="C8" s="229" t="s"/>
      <c r="D8" s="229" t="s"/>
      <c r="E8" s="417" t="s">
        <v>348</v>
      </c>
      <c r="F8" s="52" t="s"/>
      <c r="G8" s="418">
        <v>0.87</v>
      </c>
      <c r="H8" s="416">
        <v>0.652</v>
      </c>
      <c r="I8" s="422" t="s"/>
    </row>
    <row r="9" spans="1:9" ht="30" customHeight="1">
      <c r="A9" s="45" t="s"/>
      <c r="B9" s="52" t="s">
        <v>70</v>
      </c>
      <c r="C9" s="229" t="s"/>
      <c r="D9" s="229" t="s"/>
      <c r="E9" s="417" t="s">
        <v>348</v>
      </c>
      <c r="F9" s="417" t="s">
        <v>349</v>
      </c>
      <c r="G9" s="418">
        <v>0.87</v>
      </c>
      <c r="H9" s="416">
        <v>0.652</v>
      </c>
      <c r="I9" s="414" t="s"/>
    </row>
    <row r="10" spans="1:9" ht="30" customHeight="1">
      <c r="A10" s="45" t="s"/>
      <c r="B10" s="52" t="s">
        <v>135</v>
      </c>
      <c r="C10" s="53" t="s"/>
      <c r="D10" s="53" t="s"/>
      <c r="E10" s="417" t="s">
        <v>100</v>
      </c>
      <c r="F10" s="417" t="s">
        <v>350</v>
      </c>
      <c r="G10" s="418">
        <v>0.87</v>
      </c>
      <c r="H10" s="416">
        <v>0.652</v>
      </c>
      <c r="I10" s="414" t="s"/>
    </row>
    <row r="11" spans="1:9" ht="30" customHeight="1">
      <c r="A11" s="45" t="s"/>
      <c r="B11" s="52" t="s">
        <v>177</v>
      </c>
      <c r="C11" s="45" t="s"/>
      <c r="D11" s="66" t="s">
        <v>183</v>
      </c>
      <c r="E11" s="417" t="s">
        <v>142</v>
      </c>
      <c r="F11" s="417" t="s">
        <v>351</v>
      </c>
      <c r="G11" s="423">
        <v>0.87</v>
      </c>
      <c r="H11" s="424">
        <v>0.652</v>
      </c>
      <c r="I11" s="414" t="s"/>
    </row>
    <row r="12" spans="1:9" ht="30" customHeight="1">
      <c r="A12" s="45" t="s"/>
      <c r="B12" s="45" t="s"/>
      <c r="C12" s="45" t="s"/>
      <c r="D12" s="66" t="s">
        <v>56</v>
      </c>
      <c r="E12" s="417" t="s">
        <v>141</v>
      </c>
      <c r="F12" s="417" t="s">
        <v>352</v>
      </c>
      <c r="G12" s="107" t="s"/>
      <c r="H12" s="107" t="s"/>
      <c r="I12" s="414" t="s"/>
    </row>
    <row r="13" spans="1:9" ht="30" customHeight="1">
      <c r="A13" s="425" t="s">
        <v>323</v>
      </c>
      <c r="B13" s="426" t="s">
        <v>353</v>
      </c>
      <c r="C13" s="93" t="s"/>
      <c r="D13" s="66" t="s">
        <v>183</v>
      </c>
      <c r="E13" s="427" t="s">
        <v>354</v>
      </c>
      <c r="F13" s="427" t="s">
        <v>355</v>
      </c>
      <c r="G13" s="418">
        <v>0.87</v>
      </c>
      <c r="H13" s="416">
        <v>0.87</v>
      </c>
      <c r="I13" s="422" t="s"/>
    </row>
    <row r="14" spans="1:9" ht="30" customHeight="1">
      <c r="A14" s="428" t="s"/>
      <c r="B14" s="109" t="s"/>
      <c r="C14" s="110" t="s"/>
      <c r="D14" s="66" t="s">
        <v>56</v>
      </c>
      <c r="E14" s="427" t="s">
        <v>356</v>
      </c>
      <c r="F14" s="417" t="s">
        <v>357</v>
      </c>
      <c r="G14" s="418">
        <v>0.87</v>
      </c>
      <c r="H14" s="416">
        <v>0.87</v>
      </c>
      <c r="I14" s="422" t="s"/>
    </row>
    <row r="15" spans="1:9" ht="30" customHeight="1">
      <c r="A15" s="429" t="s"/>
      <c r="B15" s="366" t="s">
        <v>88</v>
      </c>
      <c r="C15" s="45" t="s"/>
      <c r="D15" s="333" t="s">
        <v>183</v>
      </c>
      <c r="E15" s="415" t="s">
        <v>100</v>
      </c>
      <c r="F15" s="415" t="s">
        <v>358</v>
      </c>
      <c r="G15" s="430">
        <v>0.87</v>
      </c>
      <c r="H15" s="416">
        <v>0.782</v>
      </c>
      <c r="I15" s="414" t="s"/>
    </row>
    <row r="16" spans="1:9" ht="30" hidden="1" customHeight="1">
      <c r="A16" s="428" t="s"/>
      <c r="B16" s="45" t="s"/>
      <c r="C16" s="45" t="s"/>
      <c r="D16" s="431" t="s">
        <v>56</v>
      </c>
      <c r="E16" s="432" t="s">
        <v>359</v>
      </c>
      <c r="F16" s="432" t="s">
        <v>360</v>
      </c>
      <c r="G16" s="45" t="s"/>
      <c r="H16" s="45" t="s"/>
      <c r="I16" s="414" t="s"/>
    </row>
    <row r="17" spans="1:9" ht="30" customHeight="1">
      <c r="A17" s="429" t="s"/>
      <c r="B17" s="433" t="s">
        <v>226</v>
      </c>
      <c r="C17" s="93" t="s"/>
      <c r="D17" s="333" t="s">
        <v>183</v>
      </c>
      <c r="E17" s="434" t="s">
        <v>45</v>
      </c>
      <c r="F17" s="415" t="s">
        <v>361</v>
      </c>
      <c r="G17" s="435">
        <v>0.87</v>
      </c>
      <c r="H17" s="424">
        <v>0.782</v>
      </c>
      <c r="I17" s="436" t="s"/>
    </row>
    <row r="18" spans="1:9" ht="30" customHeight="1">
      <c r="A18" s="437" t="s"/>
      <c r="B18" s="438" t="s"/>
      <c r="C18" s="439" t="s"/>
      <c r="D18" s="115" t="s">
        <v>362</v>
      </c>
      <c r="E18" s="440" t="s">
        <v>45</v>
      </c>
      <c r="F18" s="441" t="s">
        <v>363</v>
      </c>
      <c r="G18" s="442" t="s"/>
      <c r="H18" s="443" t="s"/>
      <c r="I18" s="444" t="s"/>
    </row>
    <row r="19" spans="1:9" ht="30" hidden="1" customHeight="1">
      <c r="A19" s="428" t="s"/>
      <c r="B19" s="109" t="s"/>
      <c r="C19" s="110" t="s"/>
      <c r="D19" s="333" t="s">
        <v>56</v>
      </c>
      <c r="E19" s="445" t="s">
        <v>364</v>
      </c>
      <c r="F19" s="446" t="s">
        <v>365</v>
      </c>
      <c r="G19" s="107" t="s"/>
      <c r="H19" s="107" t="s"/>
      <c r="I19" s="414" t="s"/>
    </row>
    <row r="20" spans="1:9" ht="30" customHeight="1">
      <c r="A20" s="429" t="s"/>
      <c r="B20" s="363" t="s">
        <v>279</v>
      </c>
      <c r="C20" s="229" t="s"/>
      <c r="D20" s="229" t="s"/>
      <c r="E20" s="447" t="s">
        <v>100</v>
      </c>
      <c r="F20" s="415" t="s">
        <v>366</v>
      </c>
      <c r="G20" s="430">
        <v>0.87</v>
      </c>
      <c r="H20" s="416">
        <v>0.782</v>
      </c>
      <c r="I20" s="422" t="s"/>
    </row>
    <row r="21" spans="1:9" ht="30" customHeight="1">
      <c r="A21" s="425" t="s">
        <v>315</v>
      </c>
      <c r="B21" s="366" t="s">
        <v>164</v>
      </c>
      <c r="C21" s="53" t="s"/>
      <c r="D21" s="53" t="s"/>
      <c r="E21" s="415" t="s">
        <v>141</v>
      </c>
      <c r="F21" s="415" t="s">
        <v>367</v>
      </c>
      <c r="G21" s="430">
        <v>0.87</v>
      </c>
      <c r="H21" s="416">
        <v>0.435</v>
      </c>
      <c r="I21" s="414" t="s"/>
    </row>
    <row r="22" spans="1:9" ht="30" customHeight="1">
      <c r="A22" s="429" t="s"/>
      <c r="B22" s="366" t="s">
        <v>316</v>
      </c>
      <c r="C22" s="53" t="s"/>
      <c r="D22" s="53" t="s"/>
      <c r="E22" s="415" t="s">
        <v>141</v>
      </c>
      <c r="F22" s="415" t="s">
        <v>368</v>
      </c>
      <c r="G22" s="430">
        <v>0.87</v>
      </c>
      <c r="H22" s="416">
        <v>0.435</v>
      </c>
      <c r="I22" s="414" t="s"/>
    </row>
    <row r="23" spans="1:9" ht="30" customHeight="1">
      <c r="A23" s="429" t="s"/>
      <c r="B23" s="448" t="s">
        <v>189</v>
      </c>
      <c r="C23" s="53" t="s"/>
      <c r="D23" s="53" t="s"/>
      <c r="E23" s="415" t="s">
        <v>369</v>
      </c>
      <c r="F23" s="449" t="s">
        <v>370</v>
      </c>
      <c r="G23" s="430">
        <v>0.87</v>
      </c>
      <c r="H23" s="416">
        <v>0.435</v>
      </c>
      <c r="I23" s="414" t="s"/>
    </row>
    <row r="24" spans="1:9" ht="30" customHeight="1">
      <c r="A24" s="429" t="s"/>
      <c r="B24" s="363" t="s">
        <v>82</v>
      </c>
      <c r="C24" s="229" t="s"/>
      <c r="D24" s="229" t="s"/>
      <c r="E24" s="415" t="s">
        <v>105</v>
      </c>
      <c r="F24" s="415" t="s">
        <v>367</v>
      </c>
      <c r="G24" s="430">
        <v>0.87</v>
      </c>
      <c r="H24" s="416">
        <v>0.435</v>
      </c>
      <c r="I24" s="414" t="s"/>
    </row>
    <row r="25" spans="1:9" ht="30" customHeight="1">
      <c r="A25" s="429" t="s"/>
      <c r="B25" s="415" t="s">
        <v>106</v>
      </c>
      <c r="C25" s="53" t="s"/>
      <c r="D25" s="53" t="s"/>
      <c r="E25" s="415" t="s">
        <v>47</v>
      </c>
      <c r="F25" s="415" t="s">
        <v>371</v>
      </c>
      <c r="G25" s="430">
        <v>0.87</v>
      </c>
      <c r="H25" s="416">
        <v>0.435</v>
      </c>
      <c r="I25" s="422" t="s"/>
    </row>
    <row r="26" spans="1:9" ht="30" customHeight="1">
      <c r="A26" s="425" t="s">
        <v>319</v>
      </c>
      <c r="B26" s="417" t="s">
        <v>29</v>
      </c>
      <c r="C26" s="53" t="s"/>
      <c r="D26" s="53" t="s"/>
      <c r="E26" s="417" t="s">
        <v>75</v>
      </c>
      <c r="F26" s="417" t="s">
        <v>372</v>
      </c>
      <c r="G26" s="418">
        <v>0.87</v>
      </c>
      <c r="H26" s="416">
        <v>0.348</v>
      </c>
      <c r="I26" s="414" t="s"/>
    </row>
    <row r="27" spans="1:9" ht="30" customHeight="1">
      <c r="A27" s="429" t="s"/>
      <c r="B27" s="417" t="s">
        <v>157</v>
      </c>
      <c r="C27" s="53" t="s"/>
      <c r="D27" s="53" t="s"/>
      <c r="E27" s="417" t="s">
        <v>75</v>
      </c>
      <c r="F27" s="417" t="s">
        <v>303</v>
      </c>
      <c r="G27" s="418">
        <v>0.87</v>
      </c>
      <c r="H27" s="416">
        <v>0.348</v>
      </c>
      <c r="I27" s="414" t="s"/>
    </row>
    <row r="28" spans="1:9" ht="30" customHeight="1">
      <c r="A28" s="429" t="s"/>
      <c r="B28" s="417" t="s">
        <v>321</v>
      </c>
      <c r="C28" s="53" t="s"/>
      <c r="D28" s="53" t="s"/>
      <c r="E28" s="417" t="s">
        <v>179</v>
      </c>
      <c r="F28" s="417" t="s">
        <v>373</v>
      </c>
      <c r="G28" s="418">
        <v>0.87</v>
      </c>
      <c r="H28" s="416">
        <v>0.348</v>
      </c>
      <c r="I28" s="414" t="s"/>
    </row>
    <row r="29" spans="1:9" ht="30" customHeight="1">
      <c r="A29" s="429" t="s"/>
      <c r="B29" s="417" t="s">
        <v>169</v>
      </c>
      <c r="C29" s="45" t="s"/>
      <c r="D29" s="66" t="s">
        <v>183</v>
      </c>
      <c r="E29" s="417" t="s">
        <v>76</v>
      </c>
      <c r="F29" s="417" t="s">
        <v>374</v>
      </c>
      <c r="G29" s="418">
        <v>0.87</v>
      </c>
      <c r="H29" s="416">
        <v>0.348</v>
      </c>
      <c r="I29" s="414" t="s"/>
    </row>
    <row r="30" spans="1:9" ht="30" hidden="1" customHeight="1">
      <c r="A30" s="428" t="s"/>
      <c r="B30" s="45" t="s"/>
      <c r="C30" s="45" t="s"/>
      <c r="D30" s="66" t="s">
        <v>56</v>
      </c>
      <c r="E30" s="417" t="s">
        <v>124</v>
      </c>
      <c r="F30" s="417" t="s">
        <v>375</v>
      </c>
      <c r="G30" s="45" t="s"/>
      <c r="H30" s="45" t="s"/>
      <c r="I30" s="414" t="s"/>
    </row>
    <row r="31" spans="1:23" ht="30" customHeight="1">
      <c r="A31" s="450" t="s">
        <v>327</v>
      </c>
      <c r="B31" s="451" t="s">
        <v>332</v>
      </c>
      <c r="C31" s="45" t="s"/>
      <c r="D31" s="452" t="s">
        <v>183</v>
      </c>
      <c r="E31" s="451" t="s">
        <v>376</v>
      </c>
      <c r="F31" s="451" t="s">
        <v>377</v>
      </c>
      <c r="G31" s="453">
        <v>0.87</v>
      </c>
      <c r="H31" s="454">
        <v>0.37</v>
      </c>
      <c r="I31" s="455" t="s"/>
      <c r="J31" s="327" t="s"/>
      <c r="K31" s="327" t="s"/>
      <c r="L31" s="327" t="s"/>
      <c r="M31" s="327" t="s"/>
      <c r="N31" s="327" t="s"/>
      <c r="O31" s="327" t="s"/>
      <c r="P31" s="327" t="s"/>
      <c r="Q31" s="327" t="s"/>
      <c r="R31" s="327" t="s"/>
      <c r="S31" s="327" t="s"/>
      <c r="T31" s="327" t="s"/>
      <c r="U31" s="327" t="s"/>
      <c r="V31" s="327" t="s"/>
      <c r="W31" s="327" t="s"/>
    </row>
    <row r="32" spans="1:23" ht="30" customHeight="1">
      <c r="A32" s="45" t="s"/>
      <c r="B32" s="45" t="s"/>
      <c r="C32" s="45" t="s"/>
      <c r="D32" s="452" t="s">
        <v>378</v>
      </c>
      <c r="E32" s="45" t="s"/>
      <c r="F32" s="45" t="s"/>
      <c r="G32" s="456">
        <v>1</v>
      </c>
      <c r="H32" s="457">
        <v>0.425</v>
      </c>
      <c r="I32" s="458" t="s"/>
      <c r="J32" s="338" t="s"/>
      <c r="K32" s="338" t="s"/>
      <c r="L32" s="338" t="s"/>
      <c r="M32" s="338" t="s"/>
      <c r="N32" s="338" t="s"/>
      <c r="O32" s="338" t="s"/>
      <c r="P32" s="338" t="s"/>
      <c r="Q32" s="338" t="s"/>
      <c r="R32" s="338" t="s"/>
      <c r="S32" s="338" t="s"/>
      <c r="T32" s="338" t="s"/>
      <c r="U32" s="338" t="s"/>
      <c r="V32" s="338" t="s"/>
      <c r="W32" s="338" t="s"/>
    </row>
    <row r="33" spans="1:23" ht="30" customHeight="1">
      <c r="A33" s="45" t="s"/>
      <c r="B33" s="459" t="s">
        <v>379</v>
      </c>
      <c r="C33" s="45" t="s"/>
      <c r="D33" s="45" t="s"/>
      <c r="E33" s="417" t="s">
        <v>376</v>
      </c>
      <c r="F33" s="417" t="s">
        <v>380</v>
      </c>
      <c r="G33" s="418">
        <v>0.87</v>
      </c>
      <c r="H33" s="460">
        <v>0.425</v>
      </c>
      <c r="I33" s="414" t="s"/>
      <c r="J33" s="327" t="s"/>
      <c r="K33" s="327" t="s"/>
      <c r="L33" s="327" t="s"/>
      <c r="M33" s="327" t="s"/>
      <c r="N33" s="327" t="s"/>
      <c r="O33" s="327" t="s"/>
      <c r="P33" s="327" t="s"/>
      <c r="Q33" s="327" t="s"/>
      <c r="R33" s="327" t="s"/>
      <c r="S33" s="327" t="s"/>
      <c r="T33" s="327" t="s"/>
      <c r="U33" s="327" t="s"/>
      <c r="V33" s="327" t="s"/>
      <c r="W33" s="327" t="s"/>
    </row>
    <row r="34" spans="1:23" ht="30" customHeight="1">
      <c r="A34" s="45" t="s"/>
      <c r="B34" s="461" t="s">
        <v>333</v>
      </c>
      <c r="C34" s="45" t="s"/>
      <c r="D34" s="462" t="s">
        <v>183</v>
      </c>
      <c r="E34" s="417" t="s">
        <v>105</v>
      </c>
      <c r="F34" s="463" t="s">
        <v>381</v>
      </c>
      <c r="G34" s="418">
        <v>0.87</v>
      </c>
      <c r="H34" s="416">
        <v>0.37</v>
      </c>
      <c r="I34" s="414" t="s"/>
      <c r="J34" s="327" t="s"/>
      <c r="K34" s="327" t="s"/>
      <c r="L34" s="327" t="s"/>
      <c r="M34" s="327" t="s"/>
      <c r="N34" s="327" t="s"/>
      <c r="O34" s="327" t="s"/>
      <c r="P34" s="327" t="s"/>
      <c r="Q34" s="327" t="s"/>
      <c r="R34" s="327" t="s"/>
      <c r="S34" s="327" t="s"/>
      <c r="T34" s="327" t="s"/>
      <c r="U34" s="327" t="s"/>
      <c r="V34" s="327" t="s"/>
      <c r="W34" s="327" t="s"/>
    </row>
    <row r="35" spans="1:23" ht="30" customHeight="1">
      <c r="A35" s="45" t="s"/>
      <c r="B35" s="45" t="s"/>
      <c r="C35" s="45" t="s"/>
      <c r="D35" s="459" t="s">
        <v>378</v>
      </c>
      <c r="E35" s="45" t="s"/>
      <c r="F35" s="45" t="s"/>
      <c r="G35" s="456">
        <v>1</v>
      </c>
      <c r="H35" s="457">
        <v>0.425</v>
      </c>
      <c r="I35" s="464" t="s"/>
      <c r="J35" s="338" t="s"/>
      <c r="K35" s="338" t="s"/>
      <c r="L35" s="338" t="s"/>
      <c r="M35" s="338" t="s"/>
      <c r="N35" s="338" t="s"/>
      <c r="O35" s="338" t="s"/>
      <c r="P35" s="338" t="s"/>
      <c r="Q35" s="338" t="s"/>
      <c r="R35" s="338" t="s"/>
      <c r="S35" s="338" t="s"/>
      <c r="T35" s="338" t="s"/>
      <c r="U35" s="338" t="s"/>
      <c r="V35" s="338" t="s"/>
      <c r="W35" s="338" t="s"/>
    </row>
    <row r="36" spans="1:23" ht="30" customHeight="1">
      <c r="A36" s="465" t="s">
        <v>334</v>
      </c>
      <c r="B36" s="466" t="s">
        <v>182</v>
      </c>
      <c r="C36" s="93" t="s"/>
      <c r="D36" s="462" t="s">
        <v>183</v>
      </c>
      <c r="E36" s="417" t="s">
        <v>156</v>
      </c>
      <c r="F36" s="417" t="s">
        <v>214</v>
      </c>
      <c r="G36" s="418">
        <v>0.87</v>
      </c>
      <c r="H36" s="460">
        <v>0.87</v>
      </c>
      <c r="I36" s="414" t="s"/>
      <c r="J36" s="327" t="s"/>
      <c r="K36" s="327" t="s"/>
      <c r="L36" s="327" t="s"/>
      <c r="M36" s="327" t="s"/>
      <c r="N36" s="327" t="s"/>
      <c r="O36" s="327" t="s"/>
      <c r="P36" s="327" t="s"/>
      <c r="Q36" s="327" t="s"/>
      <c r="R36" s="327" t="s"/>
      <c r="S36" s="327" t="s"/>
      <c r="T36" s="327" t="s"/>
      <c r="U36" s="327" t="s"/>
      <c r="V36" s="327" t="s"/>
      <c r="W36" s="327" t="s"/>
    </row>
    <row r="37" spans="1:23" ht="30" customHeight="1">
      <c r="A37" s="428" t="s"/>
      <c r="B37" s="109" t="s"/>
      <c r="C37" s="110" t="s"/>
      <c r="D37" s="462" t="s">
        <v>56</v>
      </c>
      <c r="E37" s="417" t="s">
        <v>100</v>
      </c>
      <c r="F37" s="417" t="s">
        <v>382</v>
      </c>
      <c r="G37" s="418">
        <v>0.87</v>
      </c>
      <c r="H37" s="460">
        <v>0.87</v>
      </c>
      <c r="I37" s="414" t="s"/>
      <c r="J37" s="327" t="s"/>
      <c r="K37" s="327" t="s"/>
      <c r="L37" s="327" t="s"/>
      <c r="M37" s="327" t="s"/>
      <c r="N37" s="327" t="s"/>
      <c r="O37" s="327" t="s"/>
      <c r="P37" s="327" t="s"/>
      <c r="Q37" s="327" t="s"/>
      <c r="R37" s="327" t="s"/>
      <c r="S37" s="327" t="s"/>
      <c r="T37" s="327" t="s"/>
      <c r="U37" s="327" t="s"/>
      <c r="V37" s="327" t="s"/>
      <c r="W37" s="327" t="s"/>
    </row>
    <row r="38" spans="1:23" ht="40.5" customHeight="1">
      <c r="A38" s="45" t="s"/>
      <c r="B38" s="467" t="s">
        <v>208</v>
      </c>
      <c r="C38" s="45" t="s"/>
      <c r="D38" s="462" t="s">
        <v>183</v>
      </c>
      <c r="E38" s="451" t="s">
        <v>383</v>
      </c>
      <c r="F38" s="451" t="s">
        <v>193</v>
      </c>
      <c r="G38" s="453">
        <v>0.87</v>
      </c>
      <c r="H38" s="468" t="s">
        <v>384</v>
      </c>
      <c r="I38" s="469" t="s"/>
      <c r="J38" s="327" t="s"/>
      <c r="K38" s="327" t="s"/>
      <c r="L38" s="327" t="s"/>
      <c r="M38" s="327" t="s"/>
      <c r="N38" s="327" t="s"/>
      <c r="O38" s="327" t="s"/>
      <c r="P38" s="327" t="s"/>
      <c r="Q38" s="327" t="s"/>
      <c r="R38" s="327" t="s"/>
      <c r="S38" s="327" t="s"/>
      <c r="T38" s="327" t="s"/>
      <c r="U38" s="327" t="s"/>
      <c r="V38" s="327" t="s"/>
      <c r="W38" s="327" t="s"/>
    </row>
    <row r="39" spans="1:23" ht="39" customHeight="1">
      <c r="A39" s="349" t="s"/>
      <c r="B39" s="45" t="s"/>
      <c r="C39" s="45" t="s"/>
      <c r="D39" s="459" t="s">
        <v>378</v>
      </c>
      <c r="E39" s="45" t="s"/>
      <c r="F39" s="45" t="s"/>
      <c r="G39" s="456">
        <v>1</v>
      </c>
      <c r="H39" s="468" t="s">
        <v>385</v>
      </c>
      <c r="I39" s="470" t="s"/>
      <c r="J39" s="338" t="s"/>
      <c r="K39" s="338" t="s"/>
      <c r="L39" s="338" t="s"/>
      <c r="M39" s="338" t="s"/>
      <c r="N39" s="338" t="s"/>
      <c r="O39" s="338" t="s"/>
      <c r="P39" s="338" t="s"/>
      <c r="Q39" s="338" t="s"/>
      <c r="R39" s="338" t="s"/>
      <c r="S39" s="338" t="s"/>
      <c r="T39" s="338" t="s"/>
      <c r="U39" s="338" t="s"/>
      <c r="V39" s="338" t="s"/>
      <c r="W39" s="338" t="s"/>
    </row>
    <row r="40" spans="1:9" ht="30" customHeight="1">
      <c r="A40" s="45" t="s"/>
      <c r="B40" s="417" t="s">
        <v>270</v>
      </c>
      <c r="C40" s="45" t="s"/>
      <c r="D40" s="462" t="s">
        <v>183</v>
      </c>
      <c r="E40" s="417" t="s">
        <v>142</v>
      </c>
      <c r="F40" s="417" t="s">
        <v>386</v>
      </c>
      <c r="G40" s="418">
        <v>0.87</v>
      </c>
      <c r="H40" s="416">
        <v>0.304</v>
      </c>
      <c r="I40" s="414" t="s"/>
    </row>
    <row r="41" spans="1:9" ht="30" customHeight="1">
      <c r="A41" s="428" t="s"/>
      <c r="B41" s="45" t="s"/>
      <c r="C41" s="45" t="s"/>
      <c r="D41" s="459" t="s">
        <v>378</v>
      </c>
      <c r="E41" s="45" t="s"/>
      <c r="F41" s="45" t="s"/>
      <c r="G41" s="456">
        <v>1</v>
      </c>
      <c r="H41" s="416">
        <v>0.35</v>
      </c>
      <c r="I41" s="414" t="s"/>
    </row>
    <row r="42" spans="1:9" ht="30" customHeight="1">
      <c r="A42" s="45" t="s"/>
      <c r="B42" s="414" t="s">
        <v>294</v>
      </c>
      <c r="C42" s="45" t="s"/>
      <c r="D42" s="471" t="s">
        <v>183</v>
      </c>
      <c r="E42" s="414" t="s">
        <v>142</v>
      </c>
      <c r="F42" s="414" t="s">
        <v>373</v>
      </c>
      <c r="G42" s="416">
        <v>0.87</v>
      </c>
      <c r="H42" s="416">
        <v>0.304</v>
      </c>
      <c r="I42" s="414" t="s"/>
    </row>
    <row r="43" spans="1:9" ht="30" customHeight="1">
      <c r="A43" s="428" t="s"/>
      <c r="B43" s="45" t="s"/>
      <c r="C43" s="45" t="s"/>
      <c r="D43" s="472" t="s">
        <v>378</v>
      </c>
      <c r="E43" s="45" t="s"/>
      <c r="F43" s="45" t="s"/>
      <c r="G43" s="457">
        <v>1</v>
      </c>
      <c r="H43" s="416">
        <v>0.35</v>
      </c>
      <c r="I43" s="414" t="s"/>
    </row>
    <row r="44" spans="1:9" ht="30" customHeight="1">
      <c r="A44" s="45" t="s"/>
      <c r="B44" s="414" t="s">
        <v>387</v>
      </c>
      <c r="C44" s="45" t="s"/>
      <c r="D44" s="471" t="s">
        <v>183</v>
      </c>
      <c r="E44" s="414" t="s">
        <v>179</v>
      </c>
      <c r="F44" s="414" t="s">
        <v>388</v>
      </c>
      <c r="G44" s="416">
        <v>0.87</v>
      </c>
      <c r="H44" s="416">
        <v>0.304</v>
      </c>
      <c r="I44" s="414" t="s"/>
    </row>
    <row r="45" spans="1:9" ht="30" customHeight="1">
      <c r="A45" s="428" t="s"/>
      <c r="B45" s="45" t="s"/>
      <c r="C45" s="45" t="s"/>
      <c r="D45" s="472" t="s">
        <v>378</v>
      </c>
      <c r="E45" s="45" t="s"/>
      <c r="F45" s="45" t="s"/>
      <c r="G45" s="457">
        <v>1</v>
      </c>
      <c r="H45" s="416">
        <v>0.35</v>
      </c>
      <c r="I45" s="414" t="s"/>
    </row>
    <row r="46" spans="1:9" ht="30" customHeight="1">
      <c r="A46" s="45" t="s"/>
      <c r="B46" s="414" t="s">
        <v>285</v>
      </c>
      <c r="C46" s="53" t="s"/>
      <c r="D46" s="53" t="s"/>
      <c r="E46" s="414" t="s">
        <v>225</v>
      </c>
      <c r="F46" s="414" t="s">
        <v>389</v>
      </c>
      <c r="G46" s="416">
        <v>0.87</v>
      </c>
      <c r="H46" s="416">
        <v>0.304</v>
      </c>
      <c r="I46" s="414" t="s"/>
    </row>
  </sheetData>
  <mergeCells count="61">
    <mergeCell ref="B5:D5"/>
    <mergeCell ref="B6:D6"/>
    <mergeCell ref="A21:A25"/>
    <mergeCell ref="B8:D8"/>
    <mergeCell ref="B9:D9"/>
    <mergeCell ref="B46:D46"/>
    <mergeCell ref="B20:D20"/>
    <mergeCell ref="B24:D24"/>
    <mergeCell ref="B25:D25"/>
    <mergeCell ref="B23:D23"/>
    <mergeCell ref="B26:D26"/>
    <mergeCell ref="B27:D27"/>
    <mergeCell ref="B22:D22"/>
    <mergeCell ref="B28:D28"/>
    <mergeCell ref="B7:D7"/>
    <mergeCell ref="B10:D10"/>
    <mergeCell ref="B21:D21"/>
    <mergeCell ref="B15:C16"/>
    <mergeCell ref="B29:C30"/>
    <mergeCell ref="G3:H3"/>
    <mergeCell ref="A3:A4"/>
    <mergeCell ref="B3:D4"/>
    <mergeCell ref="I3:I4"/>
    <mergeCell ref="G15:G16"/>
    <mergeCell ref="H15:H16"/>
    <mergeCell ref="G29:G30"/>
    <mergeCell ref="B31:C32"/>
    <mergeCell ref="A5:A12"/>
    <mergeCell ref="B11:C12"/>
    <mergeCell ref="B34:C35"/>
    <mergeCell ref="E31:E32"/>
    <mergeCell ref="E34:E35"/>
    <mergeCell ref="F31:F32"/>
    <mergeCell ref="F34:F35"/>
    <mergeCell ref="A31:A35"/>
    <mergeCell ref="B33:D33"/>
    <mergeCell ref="B38:C39"/>
    <mergeCell ref="E38:E39"/>
    <mergeCell ref="F38:F39"/>
    <mergeCell ref="H29:H30"/>
    <mergeCell ref="B40:C41"/>
    <mergeCell ref="B42:C43"/>
    <mergeCell ref="B44:C45"/>
    <mergeCell ref="E40:E41"/>
    <mergeCell ref="E42:E43"/>
    <mergeCell ref="F40:F41"/>
    <mergeCell ref="E44:E45"/>
    <mergeCell ref="F42:F43"/>
    <mergeCell ref="F44:F45"/>
    <mergeCell ref="A26:A30"/>
    <mergeCell ref="G11:G12"/>
    <mergeCell ref="H11:H12"/>
    <mergeCell ref="A1:I1"/>
    <mergeCell ref="A2:H2"/>
    <mergeCell ref="A36:A46"/>
    <mergeCell ref="B36:C37"/>
    <mergeCell ref="B13:C14"/>
    <mergeCell ref="B17:C19"/>
    <mergeCell ref="G17:G19"/>
    <mergeCell ref="H17:H19"/>
    <mergeCell ref="A13:A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可视化曲线">
    <tabColor/>
  </sheetPr>
  <dimension ref="AT122"/>
  <sheetViews>
    <sheetView showGridLines="1" workbookViewId="0"/>
  </sheetViews>
  <sheetFormatPr baseColWidth="13" defaultRowHeight="18" customHeight="1"/>
  <cols>
    <col min="1" max="1" width="13.6133" style="497" customWidth="1"/>
    <col min="2" max="2" width="15.6484" style="497" customWidth="1"/>
    <col min="3" max="3" width="13.6133" style="497" customWidth="1"/>
    <col min="4" max="46" width="9.84375" style="497" customWidth="1"/>
  </cols>
  <sheetData>
    <row r="1" spans="1:46" ht="39" customHeight="1">
      <c r="A1" s="473" t="s">
        <v>390</v>
      </c>
      <c r="B1" s="45" t="s"/>
      <c r="C1" s="45" t="s"/>
      <c r="D1" s="45" t="s"/>
      <c r="E1" s="45" t="s"/>
      <c r="F1" s="45" t="s"/>
      <c r="G1" s="45" t="s"/>
      <c r="H1" s="45" t="s"/>
      <c r="I1" s="45" t="s"/>
      <c r="J1" s="45" t="s"/>
      <c r="K1" s="45" t="s"/>
      <c r="L1" s="45" t="s"/>
      <c r="M1" s="45" t="s"/>
      <c r="N1" s="45" t="s"/>
      <c r="O1" s="45" t="s"/>
      <c r="P1" s="45" t="s"/>
      <c r="Q1" s="45" t="s"/>
      <c r="R1" s="45" t="s"/>
      <c r="S1" s="45" t="s"/>
      <c r="T1" s="45" t="s"/>
      <c r="U1" s="45" t="s"/>
      <c r="V1" s="45" t="s"/>
      <c r="W1" s="45" t="s"/>
      <c r="X1" s="45" t="s"/>
      <c r="Y1" s="45" t="s"/>
      <c r="Z1" s="45" t="s"/>
      <c r="AA1" s="474" t="s"/>
      <c r="AB1" s="474" t="s"/>
      <c r="AC1" s="474" t="s"/>
      <c r="AD1" s="474" t="s"/>
      <c r="AE1" s="474" t="s"/>
      <c r="AF1" s="474" t="s"/>
      <c r="AG1" s="474" t="s"/>
      <c r="AH1" s="474" t="s"/>
      <c r="AI1" s="474" t="s"/>
      <c r="AJ1" s="474" t="s"/>
      <c r="AK1" s="474" t="s"/>
      <c r="AL1" s="474" t="s"/>
      <c r="AM1" s="474" t="s"/>
      <c r="AN1" s="474" t="s"/>
      <c r="AO1" s="474" t="s"/>
      <c r="AP1" s="474" t="s"/>
      <c r="AQ1" s="474" t="s"/>
      <c r="AR1" s="474" t="s"/>
      <c r="AS1" s="474" t="s"/>
      <c r="AT1" s="474" t="s"/>
    </row>
    <row r="2" spans="1:46" ht="28.5" customHeight="1">
      <c r="A2" s="475" t="s">
        <v>630</v>
      </c>
      <c r="B2" s="45" t="s"/>
      <c r="C2" s="45" t="s"/>
      <c r="D2" s="45" t="s"/>
      <c r="E2" s="45" t="s"/>
      <c r="F2" s="45" t="s"/>
      <c r="G2" s="45" t="s"/>
      <c r="H2" s="45" t="s"/>
      <c r="I2" s="45" t="s"/>
      <c r="J2" s="45" t="s"/>
      <c r="K2" s="45" t="s"/>
      <c r="L2" s="45" t="s"/>
      <c r="M2" s="45" t="s"/>
      <c r="N2" s="45" t="s"/>
      <c r="O2" s="45" t="s"/>
      <c r="P2" s="45" t="s"/>
      <c r="Q2" s="45" t="s"/>
      <c r="R2" s="45" t="s"/>
      <c r="S2" s="45" t="s"/>
      <c r="T2" s="45" t="s"/>
      <c r="U2" s="45" t="s"/>
      <c r="V2" s="45" t="s"/>
      <c r="W2" s="45" t="s"/>
      <c r="X2" s="45" t="s"/>
      <c r="Y2" s="45" t="s"/>
      <c r="Z2" s="45" t="s"/>
      <c r="AA2" s="476" t="s"/>
      <c r="AB2" s="476" t="s"/>
      <c r="AC2" s="476" t="s"/>
      <c r="AD2" s="476" t="s"/>
      <c r="AE2" s="476" t="s"/>
      <c r="AF2" s="476" t="s"/>
      <c r="AG2" s="476" t="s"/>
      <c r="AH2" s="476" t="s"/>
      <c r="AI2" s="476" t="s"/>
      <c r="AJ2" s="476" t="s"/>
      <c r="AK2" s="476" t="s"/>
      <c r="AL2" s="476" t="s"/>
      <c r="AM2" s="476" t="s"/>
      <c r="AN2" s="476" t="s"/>
      <c r="AO2" s="476" t="s"/>
      <c r="AP2" s="476" t="s"/>
      <c r="AQ2" s="476" t="s"/>
      <c r="AR2" s="476" t="s"/>
      <c r="AS2" s="476" t="s"/>
      <c r="AT2" s="476" t="s"/>
    </row>
    <row r="3" spans="1:15">
      <c r="A3" s="477" t="s">
        <v>391</v>
      </c>
      <c r="B3" s="478" t="s">
        <v>392</v>
      </c>
      <c r="C3" s="479" t="s">
        <v>393</v>
      </c>
      <c r="D3" s="480">
        <v>1</v>
      </c>
      <c r="E3" s="480">
        <f>16/E5</f>
        <v>0.941176470588235</v>
      </c>
      <c r="F3" s="480">
        <f>16/F5</f>
        <v>0.888888888888889</v>
      </c>
      <c r="G3" s="480">
        <f>16/G5</f>
        <v>0.842105263157895</v>
      </c>
      <c r="H3" s="480">
        <f>16/H5</f>
        <v>0.8</v>
      </c>
      <c r="I3" s="480">
        <f>16/I5</f>
        <v>0.761904761904762</v>
      </c>
      <c r="J3" s="480">
        <f>16/J5</f>
        <v>0.727272727272727</v>
      </c>
      <c r="K3" s="480">
        <f>16/K5</f>
        <v>0.695652173913044</v>
      </c>
      <c r="L3" s="480">
        <f>16/L5</f>
        <v>0.666666666666667</v>
      </c>
      <c r="M3" s="480">
        <f>16/M5</f>
        <v>0.64</v>
      </c>
      <c r="N3" s="480">
        <f>16/N5</f>
        <v>0.615384615384616</v>
      </c>
      <c r="O3" s="480">
        <f>16/O5</f>
        <v>0.592592592592593</v>
      </c>
    </row>
    <row r="4" spans="1:15">
      <c r="A4" s="104" t="s"/>
      <c r="B4" s="481" t="s"/>
      <c r="C4" s="482" t="s">
        <v>394</v>
      </c>
      <c r="D4" s="483">
        <v>0.85</v>
      </c>
      <c r="E4" s="483">
        <f>D4/(D5-1)*(E5-1)</f>
        <v>0.906666666666667</v>
      </c>
      <c r="F4" s="483">
        <f>E4/(E5-1)*(F5-1)</f>
        <v>0.963333333333333</v>
      </c>
      <c r="G4" s="483">
        <f>F4/(F5-1)*(G5-1)</f>
        <v>1.02</v>
      </c>
      <c r="H4" s="483">
        <f>G4/(G5-1)*(H5-1)</f>
        <v>1.07666666666667</v>
      </c>
      <c r="I4" s="483">
        <f>H4/(H5-1)*(I5-1)</f>
        <v>1.13333333333333</v>
      </c>
      <c r="J4" s="483">
        <f>I4/(I5-1)*(J5-1)</f>
        <v>1.19</v>
      </c>
      <c r="K4" s="483">
        <f>J4/(J5-1)*(K5-1)</f>
        <v>1.24666666666667</v>
      </c>
      <c r="L4" s="483">
        <f>K4/(K5-1)*(L5-1)</f>
        <v>1.30333333333333</v>
      </c>
      <c r="M4" s="483">
        <f>L4/(L5-1)*(M5-1)</f>
        <v>1.36</v>
      </c>
      <c r="N4" s="483">
        <f>M4/(M5-1)*(N5-1)</f>
        <v>1.41666666666667</v>
      </c>
      <c r="O4" s="483">
        <f>N4/(N5-1)*(O5-1)</f>
        <v>1.47333333333333</v>
      </c>
    </row>
    <row r="5" spans="1:15">
      <c r="A5" s="104" t="s"/>
      <c r="B5" s="481" t="s"/>
      <c r="C5" s="482" t="s">
        <v>395</v>
      </c>
      <c r="D5" s="482">
        <v>16</v>
      </c>
      <c r="E5" s="482">
        <v>17</v>
      </c>
      <c r="F5" s="482">
        <v>18</v>
      </c>
      <c r="G5" s="482">
        <v>19</v>
      </c>
      <c r="H5" s="482">
        <v>20</v>
      </c>
      <c r="I5" s="482">
        <v>21</v>
      </c>
      <c r="J5" s="482">
        <v>22</v>
      </c>
      <c r="K5" s="482">
        <v>23</v>
      </c>
      <c r="L5" s="482">
        <v>24</v>
      </c>
      <c r="M5" s="482">
        <v>25</v>
      </c>
      <c r="N5" s="482">
        <v>26</v>
      </c>
      <c r="O5" s="482">
        <v>27</v>
      </c>
    </row>
    <row r="6" spans="1:46" ht="18" customHeight="1">
      <c r="A6" s="104" t="s"/>
      <c r="B6" s="484" t="s">
        <v>396</v>
      </c>
      <c r="C6" s="485" t="s">
        <v>393</v>
      </c>
      <c r="D6" s="486">
        <v>1</v>
      </c>
      <c r="E6" s="486">
        <f>15/E8</f>
        <v>0.9375</v>
      </c>
      <c r="F6" s="486">
        <f>15/F8</f>
        <v>0.882352941176471</v>
      </c>
      <c r="G6" s="486">
        <f>15/G8</f>
        <v>0.833333333333334</v>
      </c>
      <c r="H6" s="486">
        <f>15/H8</f>
        <v>0.789473684210527</v>
      </c>
      <c r="I6" s="486">
        <f>15/I8</f>
        <v>0.75</v>
      </c>
      <c r="J6" s="486">
        <f>15/J8</f>
        <v>0.714285714285714</v>
      </c>
      <c r="K6" s="486">
        <f>15/K8</f>
        <v>0.681818181818182</v>
      </c>
      <c r="L6" s="486">
        <f>15/L8</f>
        <v>0.652173913043478</v>
      </c>
      <c r="M6" s="486">
        <f>15/M8</f>
        <v>0.625</v>
      </c>
      <c r="N6" s="486">
        <f>15/N8</f>
        <v>0.6</v>
      </c>
      <c r="O6" s="486">
        <f>15/O8</f>
        <v>0.576923076923077</v>
      </c>
      <c r="P6" s="486">
        <f>15/P8</f>
        <v>0.555555555555556</v>
      </c>
      <c r="Q6" s="486">
        <f>15/Q8</f>
        <v>0.535714285714286</v>
      </c>
      <c r="R6" s="487" t="s"/>
      <c r="S6" s="487" t="s"/>
      <c r="T6" s="487" t="s"/>
      <c r="U6" s="487" t="s"/>
      <c r="V6" s="487" t="s"/>
      <c r="W6" s="487" t="s"/>
      <c r="X6" s="487" t="s"/>
      <c r="Y6" s="487" t="s"/>
      <c r="Z6" s="487" t="s"/>
      <c r="AA6" s="487" t="s"/>
      <c r="AB6" s="487" t="s"/>
      <c r="AC6" s="487" t="s"/>
      <c r="AD6" s="487" t="s"/>
      <c r="AE6" s="487" t="s"/>
      <c r="AF6" s="487" t="s"/>
      <c r="AG6" s="487" t="s"/>
      <c r="AH6" s="487" t="s"/>
      <c r="AI6" s="487" t="s"/>
      <c r="AJ6" s="487" t="s"/>
      <c r="AK6" s="487" t="s"/>
      <c r="AL6" s="487" t="s"/>
      <c r="AM6" s="487" t="s"/>
      <c r="AN6" s="487" t="s"/>
      <c r="AO6" s="487" t="s"/>
      <c r="AP6" s="487" t="s"/>
      <c r="AQ6" s="487" t="s"/>
      <c r="AR6" s="487" t="s"/>
      <c r="AS6" s="487" t="s"/>
      <c r="AT6" s="487" t="s"/>
    </row>
    <row r="7" spans="1:46" ht="18" customHeight="1">
      <c r="A7" s="104" t="s"/>
      <c r="B7" s="292" t="s"/>
      <c r="C7" s="485" t="s">
        <v>394</v>
      </c>
      <c r="D7" s="488">
        <v>0.9</v>
      </c>
      <c r="E7" s="488">
        <f>D7/(D8-1)*(E8-1)</f>
        <v>0.964285714285715</v>
      </c>
      <c r="F7" s="488">
        <f>E7/(E8-1)*(F8-1)</f>
        <v>1.02857142857143</v>
      </c>
      <c r="G7" s="488">
        <f>F7/(F8-1)*(G8-1)</f>
        <v>1.09285714285714</v>
      </c>
      <c r="H7" s="488">
        <f>G7/(G8-1)*(H8-1)</f>
        <v>1.15714285714286</v>
      </c>
      <c r="I7" s="488">
        <f>H7/(H8-1)*(I8-1)</f>
        <v>1.22142857142857</v>
      </c>
      <c r="J7" s="488">
        <f>I7/(I8-1)*(J8-1)</f>
        <v>1.28571428571429</v>
      </c>
      <c r="K7" s="488">
        <f>J7/(J8-1)*(K8-1)</f>
        <v>1.35</v>
      </c>
      <c r="L7" s="488">
        <f>K7/(K8-1)*(L8-1)</f>
        <v>1.41428571428571</v>
      </c>
      <c r="M7" s="488">
        <f>L7/(L8-1)*(M8-1)</f>
        <v>1.47857142857143</v>
      </c>
      <c r="N7" s="488">
        <f>M7/(M8-1)*(N8-1)</f>
        <v>1.54285714285714</v>
      </c>
      <c r="O7" s="488">
        <f>N7/(N8-1)*(O8-1)</f>
        <v>1.60714285714286</v>
      </c>
      <c r="P7" s="488">
        <f>O7/(O8-1)*(P8-1)</f>
        <v>1.67142857142857</v>
      </c>
      <c r="Q7" s="488">
        <f>P7/(P8-1)*(Q8-1)</f>
        <v>1.73571428571429</v>
      </c>
      <c r="R7" s="487" t="s"/>
      <c r="S7" s="487" t="s"/>
      <c r="T7" s="487" t="s"/>
      <c r="U7" s="487" t="s"/>
      <c r="V7" s="487" t="s"/>
      <c r="W7" s="487" t="s"/>
      <c r="X7" s="487" t="s"/>
      <c r="Y7" s="487" t="s"/>
      <c r="Z7" s="487" t="s"/>
      <c r="AA7" s="487" t="s"/>
      <c r="AB7" s="487" t="s"/>
      <c r="AC7" s="487" t="s"/>
      <c r="AD7" s="487" t="s"/>
      <c r="AE7" s="487" t="s"/>
      <c r="AF7" s="487" t="s"/>
      <c r="AG7" s="487" t="s"/>
      <c r="AH7" s="487" t="s"/>
      <c r="AI7" s="487" t="s"/>
      <c r="AJ7" s="487" t="s"/>
      <c r="AK7" s="487" t="s"/>
      <c r="AL7" s="487" t="s"/>
      <c r="AM7" s="487" t="s"/>
      <c r="AN7" s="487" t="s"/>
      <c r="AO7" s="487" t="s"/>
      <c r="AP7" s="487" t="s"/>
      <c r="AQ7" s="487" t="s"/>
      <c r="AR7" s="487" t="s"/>
      <c r="AS7" s="487" t="s"/>
      <c r="AT7" s="487" t="s"/>
    </row>
    <row r="8" spans="1:46" ht="18" customHeight="1">
      <c r="A8" s="104" t="s"/>
      <c r="B8" s="292" t="s"/>
      <c r="C8" s="485" t="s">
        <v>395</v>
      </c>
      <c r="D8" s="485">
        <v>15</v>
      </c>
      <c r="E8" s="485">
        <v>16</v>
      </c>
      <c r="F8" s="485">
        <v>17</v>
      </c>
      <c r="G8" s="485">
        <v>18</v>
      </c>
      <c r="H8" s="485">
        <v>19</v>
      </c>
      <c r="I8" s="485">
        <v>20</v>
      </c>
      <c r="J8" s="485">
        <v>21</v>
      </c>
      <c r="K8" s="485">
        <v>22</v>
      </c>
      <c r="L8" s="485">
        <v>23</v>
      </c>
      <c r="M8" s="485">
        <v>24</v>
      </c>
      <c r="N8" s="485">
        <v>25</v>
      </c>
      <c r="O8" s="485">
        <v>26</v>
      </c>
      <c r="P8" s="485">
        <v>27</v>
      </c>
      <c r="Q8" s="485">
        <v>28</v>
      </c>
      <c r="R8" s="487" t="s"/>
      <c r="S8" s="487" t="s"/>
      <c r="T8" s="487" t="s"/>
      <c r="U8" s="487" t="s"/>
      <c r="V8" s="487" t="s"/>
      <c r="W8" s="487" t="s"/>
      <c r="X8" s="487" t="s"/>
      <c r="Y8" s="487" t="s"/>
      <c r="Z8" s="487" t="s"/>
      <c r="AA8" s="487" t="s"/>
      <c r="AB8" s="487" t="s"/>
      <c r="AC8" s="487" t="s"/>
      <c r="AD8" s="487" t="s"/>
      <c r="AE8" s="487" t="s"/>
      <c r="AF8" s="487" t="s"/>
      <c r="AG8" s="487" t="s"/>
      <c r="AH8" s="487" t="s"/>
      <c r="AI8" s="487" t="s"/>
      <c r="AJ8" s="487" t="s"/>
      <c r="AK8" s="487" t="s"/>
      <c r="AL8" s="487" t="s"/>
      <c r="AM8" s="487" t="s"/>
      <c r="AN8" s="487" t="s"/>
      <c r="AO8" s="487" t="s"/>
      <c r="AP8" s="487" t="s"/>
      <c r="AQ8" s="487" t="s"/>
      <c r="AR8" s="487" t="s"/>
      <c r="AS8" s="487" t="s"/>
      <c r="AT8" s="487" t="s"/>
    </row>
    <row r="9" spans="1:46" ht="18" customHeight="1">
      <c r="A9" s="104" t="s"/>
      <c r="B9" s="489" t="s">
        <v>397</v>
      </c>
      <c r="C9" s="490" t="s">
        <v>393</v>
      </c>
      <c r="D9" s="486">
        <v>1</v>
      </c>
      <c r="E9" s="486">
        <f>13/E11</f>
        <v>0.928571428571429</v>
      </c>
      <c r="F9" s="486">
        <f>13/F11</f>
        <v>0.866666666666667</v>
      </c>
      <c r="G9" s="486">
        <f>13/G11</f>
        <v>0.8125</v>
      </c>
      <c r="H9" s="486">
        <f>13/H11</f>
        <v>0.764705882352941</v>
      </c>
      <c r="I9" s="486">
        <f>13/I11</f>
        <v>0.722222222222222</v>
      </c>
      <c r="J9" s="486">
        <f>13/J11</f>
        <v>0.68421052631579</v>
      </c>
      <c r="K9" s="486">
        <f>13/K11</f>
        <v>0.65</v>
      </c>
      <c r="L9" s="486">
        <f>13/L11</f>
        <v>0.619047619047619</v>
      </c>
      <c r="M9" s="486">
        <f>13/M11</f>
        <v>0.590909090909091</v>
      </c>
      <c r="N9" s="486">
        <f>13/N11</f>
        <v>0.565217391304348</v>
      </c>
      <c r="O9" s="486">
        <f>13/O11</f>
        <v>0.541666666666667</v>
      </c>
      <c r="P9" s="486">
        <f>13/P11</f>
        <v>0.52</v>
      </c>
      <c r="Q9" s="486">
        <f>13/Q11</f>
        <v>0.5</v>
      </c>
      <c r="R9" s="486">
        <f>13/R11</f>
        <v>0.481481481481482</v>
      </c>
      <c r="S9" s="486">
        <f>13/S11</f>
        <v>0.464285714285714</v>
      </c>
      <c r="T9" s="486">
        <f>13/T11</f>
        <v>0.448275862068966</v>
      </c>
      <c r="U9" s="486">
        <f>13/U11</f>
        <v>0.433333333333333</v>
      </c>
      <c r="V9" s="486">
        <f>13/V11</f>
        <v>0.419354838709678</v>
      </c>
      <c r="W9" s="486">
        <f>13/W11</f>
        <v>0.40625</v>
      </c>
      <c r="X9" s="486">
        <f>13/X11</f>
        <v>0.393939393939394</v>
      </c>
      <c r="Y9" s="486">
        <f>13/Y11</f>
        <v>0.382352941176471</v>
      </c>
      <c r="Z9" s="486">
        <f>13/Z11</f>
        <v>0.371428571428572</v>
      </c>
      <c r="AA9" s="491" t="s"/>
      <c r="AB9" s="491" t="s"/>
      <c r="AC9" s="491" t="s"/>
      <c r="AD9" s="491" t="s"/>
      <c r="AE9" s="491" t="s"/>
      <c r="AF9" s="491" t="s"/>
      <c r="AG9" s="491" t="s"/>
      <c r="AH9" s="491" t="s"/>
      <c r="AI9" s="491" t="s"/>
      <c r="AJ9" s="491" t="s"/>
      <c r="AK9" s="491" t="s"/>
      <c r="AL9" s="491" t="s"/>
      <c r="AM9" s="491" t="s"/>
      <c r="AN9" s="491" t="s"/>
      <c r="AO9" s="491" t="s"/>
      <c r="AP9" s="491" t="s"/>
      <c r="AQ9" s="491" t="s"/>
      <c r="AR9" s="491" t="s"/>
      <c r="AS9" s="491" t="s"/>
      <c r="AT9" s="491" t="s"/>
    </row>
    <row r="10" spans="1:46" ht="18" customHeight="1">
      <c r="A10" s="104" t="s"/>
      <c r="B10" s="292" t="s"/>
      <c r="C10" s="490" t="s">
        <v>394</v>
      </c>
      <c r="D10" s="488">
        <v>1.01</v>
      </c>
      <c r="E10" s="488">
        <v>1.05</v>
      </c>
      <c r="F10" s="488">
        <v>1.09</v>
      </c>
      <c r="G10" s="488">
        <v>1.36</v>
      </c>
      <c r="H10" s="488">
        <v>1.41</v>
      </c>
      <c r="I10" s="488">
        <v>1.46</v>
      </c>
      <c r="J10" s="488">
        <v>1.5</v>
      </c>
      <c r="K10" s="488">
        <v>1.54</v>
      </c>
      <c r="L10" s="488">
        <v>1.81</v>
      </c>
      <c r="M10" s="488">
        <v>1.86</v>
      </c>
      <c r="N10" s="488">
        <v>1.91</v>
      </c>
      <c r="O10" s="488">
        <v>1.95</v>
      </c>
      <c r="P10" s="488">
        <v>1.99</v>
      </c>
      <c r="Q10" s="488">
        <v>2.25</v>
      </c>
      <c r="R10" s="488">
        <v>2.3</v>
      </c>
      <c r="S10" s="488">
        <v>2.35</v>
      </c>
      <c r="T10" s="488">
        <v>2.4</v>
      </c>
      <c r="U10" s="488">
        <v>2.44</v>
      </c>
      <c r="V10" s="488">
        <v>2.7</v>
      </c>
      <c r="W10" s="488">
        <v>2.76</v>
      </c>
      <c r="X10" s="488">
        <v>2.8</v>
      </c>
      <c r="Y10" s="488">
        <v>2.85</v>
      </c>
      <c r="Z10" s="488">
        <v>2.9</v>
      </c>
      <c r="AA10" s="492" t="s"/>
      <c r="AB10" s="492" t="s"/>
      <c r="AC10" s="492" t="s"/>
      <c r="AD10" s="492" t="s"/>
      <c r="AE10" s="492" t="s"/>
      <c r="AF10" s="492" t="s"/>
      <c r="AG10" s="492" t="s"/>
      <c r="AH10" s="492" t="s"/>
      <c r="AI10" s="492" t="s"/>
      <c r="AJ10" s="492" t="s"/>
      <c r="AK10" s="492" t="s"/>
      <c r="AL10" s="492" t="s"/>
      <c r="AM10" s="492" t="s"/>
      <c r="AN10" s="492" t="s"/>
      <c r="AO10" s="492" t="s"/>
      <c r="AP10" s="492" t="s"/>
      <c r="AQ10" s="492" t="s"/>
      <c r="AR10" s="492" t="s"/>
      <c r="AS10" s="492" t="s"/>
      <c r="AT10" s="492" t="s"/>
    </row>
    <row r="11" spans="1:46" ht="18" customHeight="1">
      <c r="A11" s="104" t="s"/>
      <c r="B11" s="292" t="s"/>
      <c r="C11" s="490" t="s">
        <v>395</v>
      </c>
      <c r="D11" s="485">
        <v>13</v>
      </c>
      <c r="E11" s="485">
        <v>14</v>
      </c>
      <c r="F11" s="485">
        <v>15</v>
      </c>
      <c r="G11" s="485">
        <v>16</v>
      </c>
      <c r="H11" s="485">
        <v>17</v>
      </c>
      <c r="I11" s="485">
        <v>18</v>
      </c>
      <c r="J11" s="485">
        <v>19</v>
      </c>
      <c r="K11" s="485">
        <v>20</v>
      </c>
      <c r="L11" s="485">
        <v>21</v>
      </c>
      <c r="M11" s="485">
        <v>22</v>
      </c>
      <c r="N11" s="485">
        <v>23</v>
      </c>
      <c r="O11" s="485">
        <v>24</v>
      </c>
      <c r="P11" s="485">
        <v>25</v>
      </c>
      <c r="Q11" s="485">
        <v>26</v>
      </c>
      <c r="R11" s="485">
        <v>27</v>
      </c>
      <c r="S11" s="485">
        <v>28</v>
      </c>
      <c r="T11" s="485">
        <v>29</v>
      </c>
      <c r="U11" s="485">
        <v>30</v>
      </c>
      <c r="V11" s="485">
        <v>31</v>
      </c>
      <c r="W11" s="485">
        <v>32</v>
      </c>
      <c r="X11" s="485">
        <v>33</v>
      </c>
      <c r="Y11" s="485">
        <v>34</v>
      </c>
      <c r="Z11" s="485">
        <v>35</v>
      </c>
      <c r="AA11" s="487" t="s"/>
      <c r="AB11" s="487" t="s"/>
      <c r="AC11" s="487" t="s"/>
      <c r="AD11" s="487" t="s"/>
      <c r="AE11" s="487" t="s"/>
      <c r="AF11" s="487" t="s"/>
      <c r="AG11" s="487" t="s"/>
      <c r="AH11" s="487" t="s"/>
      <c r="AI11" s="487" t="s"/>
      <c r="AJ11" s="487" t="s"/>
      <c r="AK11" s="487" t="s"/>
      <c r="AL11" s="487" t="s"/>
      <c r="AM11" s="487" t="s"/>
      <c r="AN11" s="487" t="s"/>
      <c r="AO11" s="487" t="s"/>
      <c r="AP11" s="487" t="s"/>
      <c r="AQ11" s="487" t="s"/>
      <c r="AR11" s="487" t="s"/>
      <c r="AS11" s="487" t="s"/>
      <c r="AT11" s="487" t="s"/>
    </row>
    <row r="12" spans="1:46" ht="18" customHeight="1">
      <c r="A12" s="104" t="s"/>
      <c r="B12" s="489" t="s">
        <v>398</v>
      </c>
      <c r="C12" s="490" t="s">
        <v>393</v>
      </c>
      <c r="D12" s="486">
        <v>1</v>
      </c>
      <c r="E12" s="486">
        <f>13/E14</f>
        <v>0.928571428571429</v>
      </c>
      <c r="F12" s="486">
        <f>13/F14</f>
        <v>0.866666666666667</v>
      </c>
      <c r="G12" s="486">
        <f>13/G14</f>
        <v>0.8125</v>
      </c>
      <c r="H12" s="486">
        <f>13/H14</f>
        <v>0.764705882352941</v>
      </c>
      <c r="I12" s="486">
        <f>13/I14</f>
        <v>0.722222222222222</v>
      </c>
      <c r="J12" s="486">
        <f>13/J14</f>
        <v>0.68421052631579</v>
      </c>
      <c r="K12" s="486">
        <f>13/K14</f>
        <v>0.65</v>
      </c>
      <c r="L12" s="486">
        <f>13/L14</f>
        <v>0.619047619047619</v>
      </c>
      <c r="M12" s="486">
        <f>13/M14</f>
        <v>0.590909090909091</v>
      </c>
      <c r="N12" s="486">
        <f>13/N14</f>
        <v>0.565217391304348</v>
      </c>
      <c r="O12" s="486">
        <f>13/O14</f>
        <v>0.541666666666667</v>
      </c>
      <c r="P12" s="486">
        <f>13/P14</f>
        <v>0.52</v>
      </c>
      <c r="Q12" s="486">
        <f>13/Q14</f>
        <v>0.5</v>
      </c>
      <c r="R12" s="486">
        <f>13/R14</f>
        <v>0.481481481481482</v>
      </c>
      <c r="S12" s="486">
        <f>13/S14</f>
        <v>0.464285714285714</v>
      </c>
      <c r="T12" s="486">
        <f>13/T14</f>
        <v>0.448275862068966</v>
      </c>
      <c r="U12" s="486">
        <f>13/U14</f>
        <v>0.433333333333333</v>
      </c>
      <c r="V12" s="486">
        <f>13/V14</f>
        <v>0.419354838709678</v>
      </c>
      <c r="W12" s="486">
        <f>13/W14</f>
        <v>0.40625</v>
      </c>
      <c r="X12" s="486">
        <f>13/X14</f>
        <v>0.393939393939394</v>
      </c>
      <c r="Y12" s="486">
        <f>13/Y14</f>
        <v>0.382352941176471</v>
      </c>
      <c r="Z12" s="486">
        <f>13/Z14</f>
        <v>0.371428571428572</v>
      </c>
      <c r="AA12" s="491" t="s"/>
      <c r="AB12" s="491" t="s"/>
      <c r="AC12" s="491" t="s"/>
      <c r="AD12" s="491" t="s"/>
      <c r="AE12" s="491" t="s"/>
      <c r="AF12" s="491" t="s"/>
      <c r="AG12" s="491" t="s"/>
      <c r="AH12" s="491" t="s"/>
      <c r="AI12" s="491" t="s"/>
      <c r="AJ12" s="491" t="s"/>
      <c r="AK12" s="491" t="s"/>
      <c r="AL12" s="491" t="s"/>
      <c r="AM12" s="491" t="s"/>
      <c r="AN12" s="491" t="s"/>
      <c r="AO12" s="491" t="s"/>
      <c r="AP12" s="491" t="s"/>
      <c r="AQ12" s="491" t="s"/>
      <c r="AR12" s="491" t="s"/>
      <c r="AS12" s="491" t="s"/>
      <c r="AT12" s="491" t="s"/>
    </row>
    <row r="13" spans="1:46" ht="18" customHeight="1">
      <c r="A13" s="104" t="s"/>
      <c r="B13" s="292" t="s"/>
      <c r="C13" s="490" t="s">
        <v>394</v>
      </c>
      <c r="D13" s="488">
        <v>0.91</v>
      </c>
      <c r="E13" s="488">
        <f>D13/(D14-1)*(E14-1)</f>
        <v>0.985833333333334</v>
      </c>
      <c r="F13" s="488">
        <f>E13/(E14-1)*(F14-1)</f>
        <v>1.06166666666667</v>
      </c>
      <c r="G13" s="488">
        <f>F13/(F14-1)*(G14-1)</f>
        <v>1.1375</v>
      </c>
      <c r="H13" s="488">
        <f>G13/(G14-1)*(H14-1)</f>
        <v>1.21333333333333</v>
      </c>
      <c r="I13" s="488">
        <f>H13/(H14-1)*(I14-1)</f>
        <v>1.28916666666667</v>
      </c>
      <c r="J13" s="488">
        <f>I13/(I14-1)*(J14-1)</f>
        <v>1.365</v>
      </c>
      <c r="K13" s="488">
        <f>J13/(J14-1)*(K14-1)</f>
        <v>1.44083333333333</v>
      </c>
      <c r="L13" s="488">
        <f>K13/(K14-1)*(L14-1)</f>
        <v>1.51666666666667</v>
      </c>
      <c r="M13" s="488">
        <f>L13/(L14-1)*(M14-1)</f>
        <v>1.5925</v>
      </c>
      <c r="N13" s="488">
        <f>M13/(M14-1)*(N14-1)</f>
        <v>1.66833333333333</v>
      </c>
      <c r="O13" s="488">
        <f>N13/(N14-1)*(O14-1)</f>
        <v>1.74416666666667</v>
      </c>
      <c r="P13" s="488">
        <f>O13/(O14-1)*(P14-1)</f>
        <v>1.82</v>
      </c>
      <c r="Q13" s="488">
        <f>P13/(P14-1)*(Q14-1)</f>
        <v>1.89583333333333</v>
      </c>
      <c r="R13" s="488">
        <f>Q13/(Q14-1)*(R14-1)</f>
        <v>1.97166666666667</v>
      </c>
      <c r="S13" s="488">
        <f>R13/(R14-1)*(S14-1)</f>
        <v>2.0475</v>
      </c>
      <c r="T13" s="488">
        <f>S13/(S14-1)*(T14-1)</f>
        <v>2.12333333333333</v>
      </c>
      <c r="U13" s="488">
        <f>T13/(T14-1)*(U14-1)</f>
        <v>2.19916666666667</v>
      </c>
      <c r="V13" s="488">
        <f>U13/(U14-1)*(V14-1)</f>
        <v>2.275</v>
      </c>
      <c r="W13" s="488">
        <f>V13/(V14-1)*(W14-1)</f>
        <v>2.35083333333333</v>
      </c>
      <c r="X13" s="488">
        <f>W13/(W14-1)*(X14-1)</f>
        <v>2.42666666666667</v>
      </c>
      <c r="Y13" s="488">
        <f>X13/(X14-1)*(Y14-1)</f>
        <v>2.5025</v>
      </c>
      <c r="Z13" s="488">
        <f>Y13/(Y14-1)*(Z14-1)</f>
        <v>2.57833333333333</v>
      </c>
      <c r="AA13" s="492" t="s"/>
      <c r="AB13" s="492" t="s"/>
      <c r="AC13" s="492" t="s"/>
      <c r="AD13" s="492" t="s"/>
      <c r="AE13" s="492" t="s"/>
      <c r="AF13" s="492" t="s"/>
      <c r="AG13" s="492" t="s"/>
      <c r="AH13" s="492" t="s"/>
      <c r="AI13" s="492" t="s"/>
      <c r="AJ13" s="492" t="s"/>
      <c r="AK13" s="492" t="s"/>
      <c r="AL13" s="492" t="s"/>
      <c r="AM13" s="492" t="s"/>
      <c r="AN13" s="492" t="s"/>
      <c r="AO13" s="492" t="s"/>
      <c r="AP13" s="492" t="s"/>
      <c r="AQ13" s="492" t="s"/>
      <c r="AR13" s="492" t="s"/>
      <c r="AS13" s="492" t="s"/>
      <c r="AT13" s="492" t="s"/>
    </row>
    <row r="14" spans="1:46" ht="18" customHeight="1">
      <c r="A14" s="104" t="s"/>
      <c r="B14" s="292" t="s"/>
      <c r="C14" s="490" t="s">
        <v>395</v>
      </c>
      <c r="D14" s="485">
        <v>13</v>
      </c>
      <c r="E14" s="485">
        <v>14</v>
      </c>
      <c r="F14" s="485">
        <v>15</v>
      </c>
      <c r="G14" s="485">
        <v>16</v>
      </c>
      <c r="H14" s="485">
        <v>17</v>
      </c>
      <c r="I14" s="485">
        <v>18</v>
      </c>
      <c r="J14" s="485">
        <v>19</v>
      </c>
      <c r="K14" s="485">
        <v>20</v>
      </c>
      <c r="L14" s="485">
        <v>21</v>
      </c>
      <c r="M14" s="485">
        <v>22</v>
      </c>
      <c r="N14" s="485">
        <v>23</v>
      </c>
      <c r="O14" s="485">
        <v>24</v>
      </c>
      <c r="P14" s="485">
        <v>25</v>
      </c>
      <c r="Q14" s="485">
        <v>26</v>
      </c>
      <c r="R14" s="485">
        <v>27</v>
      </c>
      <c r="S14" s="485">
        <v>28</v>
      </c>
      <c r="T14" s="485">
        <v>29</v>
      </c>
      <c r="U14" s="485">
        <v>30</v>
      </c>
      <c r="V14" s="485">
        <v>31</v>
      </c>
      <c r="W14" s="485">
        <v>32</v>
      </c>
      <c r="X14" s="485">
        <v>33</v>
      </c>
      <c r="Y14" s="485">
        <v>34</v>
      </c>
      <c r="Z14" s="485">
        <v>35</v>
      </c>
      <c r="AA14" s="487" t="s"/>
      <c r="AB14" s="487" t="s"/>
      <c r="AC14" s="487" t="s"/>
      <c r="AD14" s="487" t="s"/>
      <c r="AE14" s="487" t="s"/>
      <c r="AF14" s="487" t="s"/>
      <c r="AG14" s="487" t="s"/>
      <c r="AH14" s="487" t="s"/>
      <c r="AI14" s="487" t="s"/>
      <c r="AJ14" s="487" t="s"/>
      <c r="AK14" s="487" t="s"/>
      <c r="AL14" s="487" t="s"/>
      <c r="AM14" s="487" t="s"/>
      <c r="AN14" s="487" t="s"/>
      <c r="AO14" s="487" t="s"/>
      <c r="AP14" s="487" t="s"/>
      <c r="AQ14" s="487" t="s"/>
      <c r="AR14" s="487" t="s"/>
      <c r="AS14" s="487" t="s"/>
      <c r="AT14" s="487" t="s"/>
    </row>
    <row r="15" spans="1:46" ht="18" customHeight="1">
      <c r="A15" s="104" t="s"/>
      <c r="B15" s="489" t="s">
        <v>399</v>
      </c>
      <c r="C15" s="490" t="s">
        <v>393</v>
      </c>
      <c r="D15" s="486">
        <v>1</v>
      </c>
      <c r="E15" s="486">
        <f>13/E17</f>
        <v>0.928571428571429</v>
      </c>
      <c r="F15" s="486">
        <f>13/F17</f>
        <v>0.866666666666667</v>
      </c>
      <c r="G15" s="486">
        <f>13/G17</f>
        <v>0.8125</v>
      </c>
      <c r="H15" s="486">
        <f>13/H17</f>
        <v>0.764705882352941</v>
      </c>
      <c r="I15" s="486">
        <f>13/I17</f>
        <v>0.722222222222222</v>
      </c>
      <c r="J15" s="486">
        <f>13/J17</f>
        <v>0.68421052631579</v>
      </c>
      <c r="K15" s="486">
        <f>13/K17</f>
        <v>0.65</v>
      </c>
      <c r="L15" s="486">
        <f>13/L17</f>
        <v>0.619047619047619</v>
      </c>
      <c r="M15" s="486">
        <f>13/M17</f>
        <v>0.590909090909091</v>
      </c>
      <c r="N15" s="486">
        <f>13/N17</f>
        <v>0.565217391304348</v>
      </c>
      <c r="O15" s="486">
        <f>13/O17</f>
        <v>0.541666666666667</v>
      </c>
      <c r="P15" s="486">
        <f>13/P17</f>
        <v>0.52</v>
      </c>
      <c r="Q15" s="486">
        <f>13/Q17</f>
        <v>0.5</v>
      </c>
      <c r="R15" s="486">
        <f>13/R17</f>
        <v>0.481481481481482</v>
      </c>
      <c r="S15" s="486">
        <f>13/S17</f>
        <v>0.464285714285714</v>
      </c>
      <c r="T15" s="486">
        <f>13/T17</f>
        <v>0.448275862068966</v>
      </c>
      <c r="U15" s="487" t="s"/>
      <c r="V15" s="487" t="s"/>
      <c r="W15" s="487" t="s"/>
      <c r="X15" s="487" t="s"/>
      <c r="Y15" s="487" t="s"/>
      <c r="Z15" s="487" t="s"/>
      <c r="AA15" s="487" t="s"/>
      <c r="AB15" s="487" t="s"/>
      <c r="AC15" s="487" t="s"/>
      <c r="AD15" s="487" t="s"/>
      <c r="AE15" s="487" t="s"/>
      <c r="AF15" s="487" t="s"/>
      <c r="AG15" s="487" t="s"/>
      <c r="AH15" s="487" t="s"/>
      <c r="AI15" s="487" t="s"/>
      <c r="AJ15" s="487" t="s"/>
      <c r="AK15" s="487" t="s"/>
      <c r="AL15" s="487" t="s"/>
      <c r="AM15" s="487" t="s"/>
      <c r="AN15" s="487" t="s"/>
      <c r="AO15" s="487" t="s"/>
      <c r="AP15" s="487" t="s"/>
      <c r="AQ15" s="487" t="s"/>
      <c r="AR15" s="487" t="s"/>
      <c r="AS15" s="487" t="s"/>
      <c r="AT15" s="487" t="s"/>
    </row>
    <row r="16" spans="1:46" ht="18" customHeight="1">
      <c r="A16" s="104" t="s"/>
      <c r="B16" s="292" t="s"/>
      <c r="C16" s="490" t="s">
        <v>394</v>
      </c>
      <c r="D16" s="488">
        <v>1</v>
      </c>
      <c r="E16" s="488">
        <f>D16/(D17-1)*(E17-1)</f>
        <v>1.08333333333333</v>
      </c>
      <c r="F16" s="488">
        <f>E16/(E17-1)*(F17-1)</f>
        <v>1.16666666666667</v>
      </c>
      <c r="G16" s="488">
        <f>F16/(F17-1)*(G17-1)</f>
        <v>1.25</v>
      </c>
      <c r="H16" s="488">
        <f>G16/(G17-1)*(H17-1)</f>
        <v>1.33333333333333</v>
      </c>
      <c r="I16" s="488">
        <f>H16/(H17-1)*(I17-1)</f>
        <v>1.41666666666667</v>
      </c>
      <c r="J16" s="488">
        <f>I16/(I17-1)*(J17-1)</f>
        <v>1.5</v>
      </c>
      <c r="K16" s="488">
        <f>J16/(J17-1)*(K17-1)</f>
        <v>1.58333333333333</v>
      </c>
      <c r="L16" s="488">
        <f>K16/(K17-1)*(L17-1)</f>
        <v>1.66666666666667</v>
      </c>
      <c r="M16" s="488">
        <f>L16/(L17-1)*(M17-1)</f>
        <v>1.75</v>
      </c>
      <c r="N16" s="488">
        <f>M16/(M17-1)*(N17-1)</f>
        <v>1.83333333333333</v>
      </c>
      <c r="O16" s="488">
        <f>N16/(N17-1)*(O17-1)</f>
        <v>1.91666666666667</v>
      </c>
      <c r="P16" s="488">
        <f>O16/(O17-1)*(P17-1)</f>
        <v>2</v>
      </c>
      <c r="Q16" s="488">
        <f>P16/(P17-1)*(Q17-1)</f>
        <v>2.08333333333333</v>
      </c>
      <c r="R16" s="488">
        <f>Q16/(Q17-1)*(R17-1)</f>
        <v>2.16666666666667</v>
      </c>
      <c r="S16" s="488">
        <f>R16/(R17-1)*(S17-1)</f>
        <v>2.25</v>
      </c>
      <c r="T16" s="488">
        <f>S16/(S17-1)*(T17-1)</f>
        <v>2.33333333333333</v>
      </c>
      <c r="U16" s="487" t="s"/>
      <c r="V16" s="487" t="s"/>
      <c r="W16" s="487" t="s"/>
      <c r="X16" s="487" t="s"/>
      <c r="Y16" s="487" t="s"/>
      <c r="Z16" s="487" t="s"/>
      <c r="AA16" s="487" t="s"/>
      <c r="AB16" s="487" t="s"/>
      <c r="AC16" s="487" t="s"/>
      <c r="AD16" s="487" t="s"/>
      <c r="AE16" s="487" t="s"/>
      <c r="AF16" s="487" t="s"/>
      <c r="AG16" s="487" t="s"/>
      <c r="AH16" s="487" t="s"/>
      <c r="AI16" s="487" t="s"/>
      <c r="AJ16" s="487" t="s"/>
      <c r="AK16" s="487" t="s"/>
      <c r="AL16" s="487" t="s"/>
      <c r="AM16" s="487" t="s"/>
      <c r="AN16" s="487" t="s"/>
      <c r="AO16" s="487" t="s"/>
      <c r="AP16" s="487" t="s"/>
      <c r="AQ16" s="487" t="s"/>
      <c r="AR16" s="487" t="s"/>
      <c r="AS16" s="487" t="s"/>
      <c r="AT16" s="487" t="s"/>
    </row>
    <row r="17" spans="1:46" ht="18" customHeight="1">
      <c r="A17" s="104" t="s"/>
      <c r="B17" s="292" t="s"/>
      <c r="C17" s="490" t="s">
        <v>395</v>
      </c>
      <c r="D17" s="485">
        <v>13</v>
      </c>
      <c r="E17" s="485">
        <v>14</v>
      </c>
      <c r="F17" s="485">
        <v>15</v>
      </c>
      <c r="G17" s="485">
        <v>16</v>
      </c>
      <c r="H17" s="485">
        <v>17</v>
      </c>
      <c r="I17" s="485">
        <v>18</v>
      </c>
      <c r="J17" s="485">
        <v>19</v>
      </c>
      <c r="K17" s="485">
        <v>20</v>
      </c>
      <c r="L17" s="485">
        <v>21</v>
      </c>
      <c r="M17" s="485">
        <v>22</v>
      </c>
      <c r="N17" s="485">
        <v>23</v>
      </c>
      <c r="O17" s="485">
        <v>24</v>
      </c>
      <c r="P17" s="485">
        <v>25</v>
      </c>
      <c r="Q17" s="485">
        <v>26</v>
      </c>
      <c r="R17" s="485">
        <v>27</v>
      </c>
      <c r="S17" s="485">
        <v>28</v>
      </c>
      <c r="T17" s="485">
        <v>29</v>
      </c>
      <c r="U17" s="487" t="s"/>
      <c r="V17" s="487" t="s"/>
      <c r="W17" s="487" t="s"/>
      <c r="X17" s="487" t="s"/>
      <c r="Y17" s="487" t="s"/>
      <c r="Z17" s="487" t="s"/>
      <c r="AA17" s="487" t="s"/>
      <c r="AB17" s="487" t="s"/>
      <c r="AC17" s="487" t="s"/>
      <c r="AD17" s="487" t="s"/>
      <c r="AE17" s="487" t="s"/>
      <c r="AF17" s="487" t="s"/>
      <c r="AG17" s="487" t="s"/>
      <c r="AH17" s="487" t="s"/>
      <c r="AI17" s="487" t="s"/>
      <c r="AJ17" s="487" t="s"/>
      <c r="AK17" s="487" t="s"/>
      <c r="AL17" s="487" t="s"/>
      <c r="AM17" s="487" t="s"/>
      <c r="AN17" s="487" t="s"/>
      <c r="AO17" s="487" t="s"/>
      <c r="AP17" s="487" t="s"/>
      <c r="AQ17" s="487" t="s"/>
      <c r="AR17" s="487" t="s"/>
      <c r="AS17" s="487" t="s"/>
      <c r="AT17" s="487" t="s"/>
    </row>
    <row r="18" spans="1:46" ht="18" customHeight="1">
      <c r="A18" s="104" t="s"/>
      <c r="B18" s="489" t="s">
        <v>400</v>
      </c>
      <c r="C18" s="490" t="s">
        <v>393</v>
      </c>
      <c r="D18" s="486">
        <v>1</v>
      </c>
      <c r="E18" s="486">
        <f>13/E20</f>
        <v>0.928571428571429</v>
      </c>
      <c r="F18" s="486">
        <f>13/F20</f>
        <v>0.866666666666667</v>
      </c>
      <c r="G18" s="486">
        <f>13/G20</f>
        <v>0.8125</v>
      </c>
      <c r="H18" s="486">
        <f>13/H20</f>
        <v>0.764705882352941</v>
      </c>
      <c r="I18" s="486">
        <f>13/I20</f>
        <v>0.722222222222222</v>
      </c>
      <c r="J18" s="486">
        <f>13/J20</f>
        <v>0.68421052631579</v>
      </c>
      <c r="K18" s="486">
        <f>13/K20</f>
        <v>0.65</v>
      </c>
      <c r="L18" s="486">
        <f>13/L20</f>
        <v>0.619047619047619</v>
      </c>
      <c r="M18" s="486">
        <f>13/M20</f>
        <v>0.590909090909091</v>
      </c>
      <c r="N18" s="486">
        <f>13/N20</f>
        <v>0.565217391304348</v>
      </c>
      <c r="O18" s="486">
        <f>13/O20</f>
        <v>0.541666666666667</v>
      </c>
      <c r="P18" s="486">
        <f>13/P20</f>
        <v>0.52</v>
      </c>
      <c r="Q18" s="486">
        <f>13/Q20</f>
        <v>0.5</v>
      </c>
      <c r="R18" s="486">
        <f>13/R20</f>
        <v>0.481481481481482</v>
      </c>
      <c r="S18" s="487" t="s"/>
      <c r="T18" s="487" t="s"/>
      <c r="U18" s="487" t="s"/>
      <c r="V18" s="487" t="s"/>
      <c r="W18" s="487" t="s"/>
      <c r="X18" s="487" t="s"/>
      <c r="Y18" s="487" t="s"/>
      <c r="Z18" s="487" t="s"/>
      <c r="AA18" s="487" t="s"/>
      <c r="AB18" s="487" t="s"/>
      <c r="AC18" s="487" t="s"/>
      <c r="AD18" s="487" t="s"/>
      <c r="AE18" s="487" t="s"/>
      <c r="AF18" s="487" t="s"/>
      <c r="AG18" s="487" t="s"/>
      <c r="AH18" s="487" t="s"/>
      <c r="AI18" s="487" t="s"/>
      <c r="AJ18" s="487" t="s"/>
      <c r="AK18" s="487" t="s"/>
      <c r="AL18" s="487" t="s"/>
      <c r="AM18" s="487" t="s"/>
      <c r="AN18" s="487" t="s"/>
      <c r="AO18" s="487" t="s"/>
      <c r="AP18" s="487" t="s"/>
      <c r="AQ18" s="487" t="s"/>
      <c r="AR18" s="487" t="s"/>
      <c r="AS18" s="487" t="s"/>
      <c r="AT18" s="487" t="s"/>
    </row>
    <row r="19" spans="1:46" ht="18" customHeight="1">
      <c r="A19" s="104" t="s"/>
      <c r="B19" s="292" t="s"/>
      <c r="C19" s="490" t="s">
        <v>394</v>
      </c>
      <c r="D19" s="488">
        <v>1</v>
      </c>
      <c r="E19" s="488">
        <f>D19/(D20-1)*(E20-1)</f>
        <v>1.08333333333333</v>
      </c>
      <c r="F19" s="488">
        <f>E19/(E20-1)*(F20-1)</f>
        <v>1.16666666666667</v>
      </c>
      <c r="G19" s="488">
        <f>F19/(F20-1)*(G20-1)</f>
        <v>1.25</v>
      </c>
      <c r="H19" s="488">
        <f>G19/(G20-1)*(H20-1)</f>
        <v>1.33333333333333</v>
      </c>
      <c r="I19" s="488">
        <f>H19/(H20-1)*(I20-1)</f>
        <v>1.41666666666667</v>
      </c>
      <c r="J19" s="488">
        <f>I19/(I20-1)*(J20-1)</f>
        <v>1.5</v>
      </c>
      <c r="K19" s="488">
        <f>J19/(J20-1)*(K20-1)</f>
        <v>1.58333333333333</v>
      </c>
      <c r="L19" s="488">
        <f>K19/(K20-1)*(L20-1)</f>
        <v>1.66666666666667</v>
      </c>
      <c r="M19" s="488">
        <f>L19/(L20-1)*(M20-1)</f>
        <v>1.75</v>
      </c>
      <c r="N19" s="488">
        <f>M19/(M20-1)*(N20-1)</f>
        <v>1.83333333333333</v>
      </c>
      <c r="O19" s="488">
        <f>N19/(N20-1)*(O20-1)</f>
        <v>1.91666666666667</v>
      </c>
      <c r="P19" s="488">
        <f>O19/(O20-1)*(P20-1)</f>
        <v>2</v>
      </c>
      <c r="Q19" s="488">
        <f>P19/(P20-1)*(Q20-1)</f>
        <v>2.08333333333333</v>
      </c>
      <c r="R19" s="488">
        <f>Q19/(Q20-1)*(R20-1)</f>
        <v>2.16666666666667</v>
      </c>
      <c r="S19" s="487" t="s"/>
      <c r="T19" s="487" t="s"/>
      <c r="U19" s="487" t="s"/>
      <c r="V19" s="487" t="s"/>
      <c r="W19" s="487" t="s"/>
      <c r="X19" s="487" t="s"/>
      <c r="Y19" s="487" t="s"/>
      <c r="Z19" s="487" t="s"/>
      <c r="AA19" s="487" t="s"/>
      <c r="AB19" s="487" t="s"/>
      <c r="AC19" s="487" t="s"/>
      <c r="AD19" s="487" t="s"/>
      <c r="AE19" s="487" t="s"/>
      <c r="AF19" s="487" t="s"/>
      <c r="AG19" s="487" t="s"/>
      <c r="AH19" s="487" t="s"/>
      <c r="AI19" s="487" t="s"/>
      <c r="AJ19" s="487" t="s"/>
      <c r="AK19" s="487" t="s"/>
      <c r="AL19" s="487" t="s"/>
      <c r="AM19" s="487" t="s"/>
      <c r="AN19" s="487" t="s"/>
      <c r="AO19" s="487" t="s"/>
      <c r="AP19" s="487" t="s"/>
      <c r="AQ19" s="487" t="s"/>
      <c r="AR19" s="487" t="s"/>
      <c r="AS19" s="487" t="s"/>
      <c r="AT19" s="487" t="s"/>
    </row>
    <row r="20" spans="1:46" ht="18" customHeight="1">
      <c r="A20" s="104" t="s"/>
      <c r="B20" s="292" t="s"/>
      <c r="C20" s="490" t="s">
        <v>395</v>
      </c>
      <c r="D20" s="485">
        <v>13</v>
      </c>
      <c r="E20" s="485">
        <v>14</v>
      </c>
      <c r="F20" s="485">
        <v>15</v>
      </c>
      <c r="G20" s="485">
        <v>16</v>
      </c>
      <c r="H20" s="485">
        <v>17</v>
      </c>
      <c r="I20" s="485">
        <v>18</v>
      </c>
      <c r="J20" s="485">
        <v>19</v>
      </c>
      <c r="K20" s="485">
        <v>20</v>
      </c>
      <c r="L20" s="485">
        <v>21</v>
      </c>
      <c r="M20" s="485">
        <v>22</v>
      </c>
      <c r="N20" s="485">
        <v>23</v>
      </c>
      <c r="O20" s="485">
        <v>24</v>
      </c>
      <c r="P20" s="485">
        <v>25</v>
      </c>
      <c r="Q20" s="485">
        <v>26</v>
      </c>
      <c r="R20" s="485">
        <v>27</v>
      </c>
      <c r="S20" s="487" t="s"/>
      <c r="T20" s="487" t="s"/>
      <c r="U20" s="487" t="s"/>
      <c r="V20" s="487" t="s"/>
      <c r="W20" s="487" t="s"/>
      <c r="X20" s="487" t="s"/>
      <c r="Y20" s="487" t="s"/>
      <c r="Z20" s="487" t="s"/>
      <c r="AA20" s="487" t="s"/>
      <c r="AB20" s="487" t="s"/>
      <c r="AC20" s="487" t="s"/>
      <c r="AD20" s="487" t="s"/>
      <c r="AE20" s="487" t="s"/>
      <c r="AF20" s="487" t="s"/>
      <c r="AG20" s="487" t="s"/>
      <c r="AH20" s="487" t="s"/>
      <c r="AI20" s="487" t="s"/>
      <c r="AJ20" s="487" t="s"/>
      <c r="AK20" s="487" t="s"/>
      <c r="AL20" s="487" t="s"/>
      <c r="AM20" s="487" t="s"/>
      <c r="AN20" s="487" t="s"/>
      <c r="AO20" s="487" t="s"/>
      <c r="AP20" s="487" t="s"/>
      <c r="AQ20" s="487" t="s"/>
      <c r="AR20" s="487" t="s"/>
      <c r="AS20" s="487" t="s"/>
      <c r="AT20" s="487" t="s"/>
    </row>
    <row r="21" spans="1:46" ht="18" customHeight="1">
      <c r="A21" s="104" t="s"/>
      <c r="B21" s="489" t="s">
        <v>401</v>
      </c>
      <c r="C21" s="490" t="s">
        <v>393</v>
      </c>
      <c r="D21" s="486">
        <v>1</v>
      </c>
      <c r="E21" s="486">
        <f>12/E23</f>
        <v>0.923076923076923</v>
      </c>
      <c r="F21" s="486">
        <f>12/F23</f>
        <v>0.857142857142857</v>
      </c>
      <c r="G21" s="486">
        <f>12/G23</f>
        <v>0.8</v>
      </c>
      <c r="H21" s="486">
        <f>12/H23</f>
        <v>0.75</v>
      </c>
      <c r="I21" s="486">
        <f>12/I23</f>
        <v>0.705882352941177</v>
      </c>
      <c r="J21" s="486">
        <f>12/J23</f>
        <v>0.666666666666667</v>
      </c>
      <c r="K21" s="486">
        <f>12/K23</f>
        <v>0.631578947368421</v>
      </c>
      <c r="L21" s="486">
        <f>12/L23</f>
        <v>0.6</v>
      </c>
      <c r="M21" s="486">
        <f>12/M23</f>
        <v>0.571428571428572</v>
      </c>
      <c r="N21" s="486">
        <f>12/N23</f>
        <v>0.545454545454546</v>
      </c>
      <c r="O21" s="486">
        <f>12/O23</f>
        <v>0.521739130434783</v>
      </c>
      <c r="P21" s="486">
        <f>12/P23</f>
        <v>0.5</v>
      </c>
      <c r="Q21" s="486">
        <f>12/Q23</f>
        <v>0.48</v>
      </c>
      <c r="R21" s="493" t="s"/>
      <c r="S21" s="493" t="s"/>
      <c r="T21" s="493" t="s"/>
      <c r="U21" s="493" t="s"/>
      <c r="V21" s="487" t="s"/>
      <c r="W21" s="494" t="s"/>
      <c r="X21" s="494" t="s"/>
      <c r="Y21" s="494" t="s"/>
      <c r="Z21" s="494" t="s"/>
      <c r="AA21" s="494" t="s"/>
      <c r="AB21" s="494" t="s"/>
      <c r="AC21" s="494" t="s"/>
      <c r="AD21" s="494" t="s"/>
      <c r="AE21" s="494" t="s"/>
      <c r="AF21" s="494" t="s"/>
      <c r="AG21" s="494" t="s"/>
      <c r="AH21" s="494" t="s"/>
      <c r="AI21" s="494" t="s"/>
      <c r="AJ21" s="494" t="s"/>
      <c r="AK21" s="494" t="s"/>
      <c r="AL21" s="494" t="s"/>
      <c r="AM21" s="494" t="s"/>
      <c r="AN21" s="494" t="s"/>
      <c r="AO21" s="494" t="s"/>
      <c r="AP21" s="494" t="s"/>
      <c r="AQ21" s="494" t="s"/>
      <c r="AR21" s="494" t="s"/>
      <c r="AS21" s="494" t="s"/>
      <c r="AT21" s="494" t="s"/>
    </row>
    <row r="22" spans="1:46" ht="18" customHeight="1">
      <c r="A22" s="104" t="s"/>
      <c r="B22" s="292" t="s"/>
      <c r="C22" s="490" t="s">
        <v>394</v>
      </c>
      <c r="D22" s="488">
        <v>1.1</v>
      </c>
      <c r="E22" s="488">
        <f>D22/(D23-1)*(E23-1)</f>
        <v>1.2</v>
      </c>
      <c r="F22" s="488">
        <f>E22/(E23-1)*(F23-1)</f>
        <v>1.3</v>
      </c>
      <c r="G22" s="488">
        <f>F22/(F23-1)*(G23-1)</f>
        <v>1.4</v>
      </c>
      <c r="H22" s="488">
        <f>G22/(G23-1)*(H23-1)</f>
        <v>1.5</v>
      </c>
      <c r="I22" s="488">
        <f>H22/(H23-1)*(I23-1)</f>
        <v>1.6</v>
      </c>
      <c r="J22" s="488">
        <f>I22/(I23-1)*(J23-1)</f>
        <v>1.7</v>
      </c>
      <c r="K22" s="488">
        <f>J22/(J23-1)*(K23-1)</f>
        <v>1.8</v>
      </c>
      <c r="L22" s="488">
        <f>K22/(K23-1)*(L23-1)</f>
        <v>1.9</v>
      </c>
      <c r="M22" s="488">
        <f>L22/(L23-1)*(M23-1)</f>
        <v>2</v>
      </c>
      <c r="N22" s="488">
        <f>M22/(M23-1)*(N23-1)</f>
        <v>2.1</v>
      </c>
      <c r="O22" s="488">
        <f>N22/(N23-1)*(O23-1)</f>
        <v>2.2</v>
      </c>
      <c r="P22" s="488">
        <f>O22/(O23-1)*(P23-1)</f>
        <v>2.3</v>
      </c>
      <c r="Q22" s="488">
        <f>P22/(P23-1)*(Q23-1)</f>
        <v>2.4</v>
      </c>
      <c r="R22" s="493" t="s"/>
      <c r="S22" s="493" t="s"/>
      <c r="T22" s="493" t="s"/>
      <c r="U22" s="493" t="s"/>
      <c r="V22" s="487" t="s"/>
      <c r="W22" s="494" t="s"/>
      <c r="X22" s="494" t="s"/>
      <c r="Y22" s="494" t="s"/>
      <c r="Z22" s="494" t="s"/>
      <c r="AA22" s="494" t="s"/>
      <c r="AB22" s="494" t="s"/>
      <c r="AC22" s="494" t="s"/>
      <c r="AD22" s="494" t="s"/>
      <c r="AE22" s="494" t="s"/>
      <c r="AF22" s="494" t="s"/>
      <c r="AG22" s="494" t="s"/>
      <c r="AH22" s="494" t="s"/>
      <c r="AI22" s="494" t="s"/>
      <c r="AJ22" s="494" t="s"/>
      <c r="AK22" s="494" t="s"/>
      <c r="AL22" s="494" t="s"/>
      <c r="AM22" s="494" t="s"/>
      <c r="AN22" s="494" t="s"/>
      <c r="AO22" s="494" t="s"/>
      <c r="AP22" s="494" t="s"/>
      <c r="AQ22" s="494" t="s"/>
      <c r="AR22" s="494" t="s"/>
      <c r="AS22" s="494" t="s"/>
      <c r="AT22" s="494" t="s"/>
    </row>
    <row r="23" spans="1:46" ht="18" customHeight="1">
      <c r="A23" s="104" t="s"/>
      <c r="B23" s="292" t="s"/>
      <c r="C23" s="490" t="s">
        <v>395</v>
      </c>
      <c r="D23" s="485">
        <v>12</v>
      </c>
      <c r="E23" s="485">
        <v>13</v>
      </c>
      <c r="F23" s="485">
        <v>14</v>
      </c>
      <c r="G23" s="485">
        <v>15</v>
      </c>
      <c r="H23" s="485">
        <v>16</v>
      </c>
      <c r="I23" s="485">
        <v>17</v>
      </c>
      <c r="J23" s="485">
        <v>18</v>
      </c>
      <c r="K23" s="485">
        <v>19</v>
      </c>
      <c r="L23" s="485">
        <v>20</v>
      </c>
      <c r="M23" s="485">
        <v>21</v>
      </c>
      <c r="N23" s="485">
        <v>22</v>
      </c>
      <c r="O23" s="485">
        <v>23</v>
      </c>
      <c r="P23" s="485">
        <v>24</v>
      </c>
      <c r="Q23" s="485">
        <v>25</v>
      </c>
      <c r="R23" s="493" t="s"/>
      <c r="S23" s="493" t="s"/>
      <c r="T23" s="493" t="s"/>
      <c r="U23" s="493" t="s"/>
      <c r="V23" s="487" t="s"/>
      <c r="W23" s="494" t="s"/>
      <c r="X23" s="494" t="s"/>
      <c r="Y23" s="494" t="s"/>
      <c r="Z23" s="494" t="s"/>
      <c r="AA23" s="494" t="s"/>
      <c r="AB23" s="494" t="s"/>
      <c r="AC23" s="494" t="s"/>
      <c r="AD23" s="494" t="s"/>
      <c r="AE23" s="494" t="s"/>
      <c r="AF23" s="494" t="s"/>
      <c r="AG23" s="494" t="s"/>
      <c r="AH23" s="494" t="s"/>
      <c r="AI23" s="494" t="s"/>
      <c r="AJ23" s="494" t="s"/>
      <c r="AK23" s="494" t="s"/>
      <c r="AL23" s="494" t="s"/>
      <c r="AM23" s="494" t="s"/>
      <c r="AN23" s="494" t="s"/>
      <c r="AO23" s="494" t="s"/>
      <c r="AP23" s="494" t="s"/>
      <c r="AQ23" s="494" t="s"/>
      <c r="AR23" s="494" t="s"/>
      <c r="AS23" s="494" t="s"/>
      <c r="AT23" s="494" t="s"/>
    </row>
    <row r="24" spans="1:22" ht="18" customHeight="1">
      <c r="A24" s="104" t="s"/>
      <c r="B24" s="489" t="s">
        <v>402</v>
      </c>
      <c r="C24" s="490" t="s">
        <v>393</v>
      </c>
      <c r="D24" s="495">
        <v>1</v>
      </c>
      <c r="E24" s="495">
        <f>9/E26</f>
        <v>1</v>
      </c>
      <c r="F24" s="495">
        <f>9/F26</f>
        <v>0.9</v>
      </c>
      <c r="G24" s="495">
        <f>9/G26</f>
        <v>0.818181818181818</v>
      </c>
      <c r="H24" s="495">
        <f>9/H26</f>
        <v>0.75</v>
      </c>
      <c r="I24" s="495">
        <f>9/I26</f>
        <v>0.692307692307692</v>
      </c>
      <c r="J24" s="495">
        <f>9/J26</f>
        <v>0.642857142857143</v>
      </c>
      <c r="K24" s="495">
        <f>9/K26</f>
        <v>0.6</v>
      </c>
      <c r="L24" s="495">
        <f>9/L26</f>
        <v>0.5625</v>
      </c>
      <c r="M24" s="495">
        <f>9/M26</f>
        <v>0.529411764705883</v>
      </c>
      <c r="N24" s="495">
        <f>9/N26</f>
        <v>0.5</v>
      </c>
      <c r="O24" s="495">
        <f>9/O26</f>
        <v>0.473684210526316</v>
      </c>
      <c r="P24" s="495">
        <f>9/P26</f>
        <v>0.45</v>
      </c>
      <c r="Q24" s="495">
        <f>9/Q26</f>
        <v>0.428571428571429</v>
      </c>
      <c r="R24" s="495">
        <f>9/R26</f>
        <v>0.409090909090909</v>
      </c>
      <c r="S24" s="496" t="s"/>
      <c r="T24" s="496" t="s"/>
      <c r="U24" s="496" t="s"/>
      <c r="V24" s="497" t="s"/>
    </row>
    <row r="25" spans="1:22" ht="18" customHeight="1">
      <c r="A25" s="104" t="s"/>
      <c r="B25" s="292" t="s"/>
      <c r="C25" s="490" t="s">
        <v>394</v>
      </c>
      <c r="D25" s="483">
        <v>0.89</v>
      </c>
      <c r="E25" s="483">
        <f>D25/(D26-1)*(E26-1)</f>
        <v>1.01714285714286</v>
      </c>
      <c r="F25" s="483">
        <f>E25/(E26-1)*(F26-1)</f>
        <v>1.14428571428571</v>
      </c>
      <c r="G25" s="483">
        <f>F25/(F26-1)*(G26-1)</f>
        <v>1.27142857142857</v>
      </c>
      <c r="H25" s="483">
        <f>G25/(G26-1)*(H26-1)</f>
        <v>1.39857142857143</v>
      </c>
      <c r="I25" s="483">
        <f>H25/(H26-1)*(I26-1)</f>
        <v>1.52571428571429</v>
      </c>
      <c r="J25" s="483">
        <f>I25/(I26-1)*(J26-1)</f>
        <v>1.65285714285714</v>
      </c>
      <c r="K25" s="483">
        <f>J25/(J26-1)*(K26-1)</f>
        <v>1.78</v>
      </c>
      <c r="L25" s="483">
        <f>K25/(K26-1)*(L26-1)</f>
        <v>1.90714285714286</v>
      </c>
      <c r="M25" s="483">
        <f>L25/(L26-1)*(M26-1)</f>
        <v>2.03428571428571</v>
      </c>
      <c r="N25" s="483">
        <f>M25/(M26-1)*(N26-1)</f>
        <v>2.16142857142857</v>
      </c>
      <c r="O25" s="483">
        <f>N25/(N26-1)*(O26-1)</f>
        <v>2.28857142857143</v>
      </c>
      <c r="P25" s="483">
        <f>O25/(O26-1)*(P26-1)</f>
        <v>2.41571428571429</v>
      </c>
      <c r="Q25" s="483">
        <f>P25/(P26-1)*(Q26-1)</f>
        <v>2.54285714285714</v>
      </c>
      <c r="R25" s="483">
        <f>Q25/(Q26-1)*(R26-1)</f>
        <v>2.67</v>
      </c>
      <c r="S25" s="496" t="s"/>
      <c r="T25" s="496" t="s"/>
      <c r="U25" s="496" t="s"/>
      <c r="V25" s="497" t="s"/>
    </row>
    <row r="26" spans="1:22" ht="18" customHeight="1">
      <c r="A26" s="104" t="s"/>
      <c r="B26" s="292" t="s"/>
      <c r="C26" s="490" t="s">
        <v>395</v>
      </c>
      <c r="D26" s="482">
        <v>8</v>
      </c>
      <c r="E26" s="482">
        <v>9</v>
      </c>
      <c r="F26" s="482">
        <v>10</v>
      </c>
      <c r="G26" s="482">
        <v>11</v>
      </c>
      <c r="H26" s="482">
        <v>12</v>
      </c>
      <c r="I26" s="482">
        <v>13</v>
      </c>
      <c r="J26" s="482">
        <v>14</v>
      </c>
      <c r="K26" s="482">
        <v>15</v>
      </c>
      <c r="L26" s="482">
        <v>16</v>
      </c>
      <c r="M26" s="482">
        <v>17</v>
      </c>
      <c r="N26" s="482">
        <v>18</v>
      </c>
      <c r="O26" s="482">
        <v>19</v>
      </c>
      <c r="P26" s="482">
        <v>20</v>
      </c>
      <c r="Q26" s="482">
        <v>21</v>
      </c>
      <c r="R26" s="482">
        <v>22</v>
      </c>
      <c r="S26" s="498" t="s"/>
      <c r="T26" s="498" t="s"/>
      <c r="U26" s="498" t="s"/>
      <c r="V26" s="497" t="s"/>
    </row>
    <row r="27" spans="1:14" ht="18" customHeight="1">
      <c r="A27" s="104" t="s"/>
      <c r="B27" s="489" t="s">
        <v>403</v>
      </c>
      <c r="C27" s="490" t="s">
        <v>393</v>
      </c>
      <c r="D27" s="495">
        <v>1</v>
      </c>
      <c r="E27" s="495">
        <f>9/E29</f>
        <v>0.9</v>
      </c>
      <c r="F27" s="496" t="s"/>
      <c r="G27" s="496" t="s"/>
      <c r="H27" s="496" t="s"/>
      <c r="I27" s="496" t="s"/>
      <c r="J27" s="496" t="s"/>
      <c r="K27" s="498" t="s"/>
      <c r="L27" s="498" t="s"/>
      <c r="M27" s="498" t="s"/>
      <c r="N27" s="498" t="s"/>
    </row>
    <row r="28" spans="1:14" ht="18" customHeight="1">
      <c r="A28" s="104" t="s"/>
      <c r="B28" s="292" t="s"/>
      <c r="C28" s="490" t="s">
        <v>394</v>
      </c>
      <c r="D28" s="483">
        <v>1</v>
      </c>
      <c r="E28" s="483">
        <f>D28/(D29-1)*(E29-1)</f>
        <v>1.125</v>
      </c>
      <c r="F28" s="496" t="s"/>
      <c r="G28" s="496" t="s"/>
      <c r="H28" s="496" t="s"/>
      <c r="I28" s="496" t="s"/>
      <c r="J28" s="496" t="s"/>
      <c r="K28" s="498" t="s"/>
      <c r="L28" s="498" t="s"/>
      <c r="M28" s="498" t="s"/>
      <c r="N28" s="498" t="s"/>
    </row>
    <row r="29" spans="1:20" ht="18" customHeight="1">
      <c r="A29" s="104" t="s"/>
      <c r="B29" s="292" t="s"/>
      <c r="C29" s="490" t="s">
        <v>395</v>
      </c>
      <c r="D29" s="482">
        <v>9</v>
      </c>
      <c r="E29" s="482">
        <v>10</v>
      </c>
      <c r="F29" s="496" t="s"/>
      <c r="G29" s="496" t="s"/>
      <c r="H29" s="496" t="s"/>
      <c r="I29" s="496" t="s"/>
      <c r="J29" s="496" t="s"/>
      <c r="K29" s="498" t="s"/>
      <c r="L29" s="498" t="s"/>
      <c r="M29" s="498" t="s"/>
      <c r="N29" s="498" t="s"/>
      <c r="Q29" s="499" t="s"/>
      <c r="R29" s="499" t="s"/>
      <c r="S29" s="499" t="s"/>
      <c r="T29" s="500" t="s"/>
    </row>
    <row r="30" spans="1:46" ht="18" customHeight="1">
      <c r="A30" s="104" t="s"/>
      <c r="B30" s="489" t="s">
        <v>404</v>
      </c>
      <c r="C30" s="490" t="s">
        <v>393</v>
      </c>
      <c r="D30" s="501">
        <v>1</v>
      </c>
      <c r="E30" s="501">
        <f>12/E32</f>
        <v>0.923076923076923</v>
      </c>
      <c r="F30" s="501">
        <f>12/F32</f>
        <v>0.857142857142857</v>
      </c>
      <c r="G30" s="501">
        <f>12/G32</f>
        <v>0.8</v>
      </c>
      <c r="H30" s="501">
        <f>12/H32</f>
        <v>0.75</v>
      </c>
      <c r="I30" s="501">
        <f>12/I32</f>
        <v>0.705882352941177</v>
      </c>
      <c r="J30" s="501">
        <f>12/J32</f>
        <v>0.666666666666667</v>
      </c>
      <c r="K30" s="501">
        <f>12/K32</f>
        <v>0.631578947368421</v>
      </c>
      <c r="L30" s="501">
        <f>12/L32</f>
        <v>0.6</v>
      </c>
      <c r="M30" s="501">
        <f>12/M32</f>
        <v>0.571428571428572</v>
      </c>
      <c r="N30" s="501">
        <f>12/N32</f>
        <v>0.545454545454546</v>
      </c>
      <c r="O30" s="501">
        <f>12/O32</f>
        <v>0.521739130434783</v>
      </c>
      <c r="P30" s="501">
        <f>12/P32</f>
        <v>0.5</v>
      </c>
      <c r="Q30" s="502">
        <f>12/Q32</f>
        <v>0.48</v>
      </c>
      <c r="R30" s="502">
        <f>12/R32</f>
        <v>0.461538461538462</v>
      </c>
      <c r="S30" s="502">
        <f>12/S32</f>
        <v>0.444444444444445</v>
      </c>
      <c r="T30" s="503" t="s"/>
      <c r="U30" s="504" t="s"/>
      <c r="V30" s="497" t="s"/>
      <c r="W30" s="497" t="s"/>
      <c r="X30" s="497" t="s"/>
      <c r="Y30" s="497" t="s"/>
      <c r="Z30" s="497" t="s"/>
      <c r="AA30" s="497" t="s"/>
      <c r="AB30" s="497" t="s"/>
      <c r="AC30" s="497" t="s"/>
      <c r="AD30" s="497" t="s"/>
      <c r="AE30" s="497" t="s"/>
      <c r="AF30" s="497" t="s"/>
      <c r="AG30" s="497" t="s"/>
      <c r="AH30" s="497" t="s"/>
      <c r="AI30" s="497" t="s"/>
      <c r="AJ30" s="497" t="s"/>
      <c r="AK30" s="497" t="s"/>
      <c r="AL30" s="497" t="s"/>
      <c r="AM30" s="497" t="s"/>
      <c r="AN30" s="497" t="s"/>
      <c r="AO30" s="497" t="s"/>
      <c r="AP30" s="497" t="s"/>
      <c r="AQ30" s="497" t="s"/>
      <c r="AR30" s="497" t="s"/>
      <c r="AS30" s="497" t="s"/>
      <c r="AT30" s="497" t="s"/>
    </row>
    <row r="31" spans="1:46" ht="18" customHeight="1">
      <c r="A31" s="104" t="s"/>
      <c r="B31" s="292" t="s"/>
      <c r="C31" s="490" t="s">
        <v>394</v>
      </c>
      <c r="D31" s="505">
        <v>0.83</v>
      </c>
      <c r="E31" s="505">
        <f>D31/(D32-1)*(E32-1)</f>
        <v>0.905454545454546</v>
      </c>
      <c r="F31" s="505">
        <f>E31/(E32-1)*(F32-1)</f>
        <v>0.980909090909091</v>
      </c>
      <c r="G31" s="505">
        <f>F31/(F32-1)*(G32-1)</f>
        <v>1.05636363636364</v>
      </c>
      <c r="H31" s="505">
        <f>G31/(G32-1)*(H32-1)</f>
        <v>1.13181818181818</v>
      </c>
      <c r="I31" s="505">
        <f>H31/(H32-1)*(I32-1)</f>
        <v>1.20727272727273</v>
      </c>
      <c r="J31" s="505">
        <f>I31/(I32-1)*(J32-1)</f>
        <v>1.28272727272727</v>
      </c>
      <c r="K31" s="505">
        <f>J31/(J32-1)*(K32-1)</f>
        <v>1.35818181818182</v>
      </c>
      <c r="L31" s="505">
        <f>K31/(K32-1)*(L32-1)</f>
        <v>1.43363636363636</v>
      </c>
      <c r="M31" s="505">
        <f>L31/(L32-1)*(M32-1)</f>
        <v>1.50909090909091</v>
      </c>
      <c r="N31" s="505">
        <f>M31/(M32-1)*(N32-1)</f>
        <v>1.58454545454545</v>
      </c>
      <c r="O31" s="505">
        <f>N31/(N32-1)*(O32-1)</f>
        <v>1.66</v>
      </c>
      <c r="P31" s="506">
        <f>O31/(O32-1)*(P32-1)</f>
        <v>1.73545454545455</v>
      </c>
      <c r="Q31" s="507">
        <f>P31/(P32-1)*(Q32-1)</f>
        <v>1.81090909090909</v>
      </c>
      <c r="R31" s="507">
        <f>Q31/(Q32-1)*(R32-1)</f>
        <v>1.88636363636364</v>
      </c>
      <c r="S31" s="508">
        <f>R31/(R32-1)*(S32-1)</f>
        <v>1.96181818181818</v>
      </c>
      <c r="T31" s="503" t="s"/>
      <c r="U31" s="504" t="s"/>
      <c r="V31" s="497" t="s"/>
      <c r="W31" s="497" t="s"/>
      <c r="X31" s="497" t="s"/>
      <c r="Y31" s="497" t="s"/>
      <c r="Z31" s="497" t="s"/>
      <c r="AA31" s="497" t="s"/>
      <c r="AB31" s="497" t="s"/>
      <c r="AC31" s="497" t="s"/>
      <c r="AD31" s="497" t="s"/>
      <c r="AE31" s="497" t="s"/>
      <c r="AF31" s="497" t="s"/>
      <c r="AG31" s="497" t="s"/>
      <c r="AH31" s="497" t="s"/>
      <c r="AI31" s="497" t="s"/>
      <c r="AJ31" s="497" t="s"/>
      <c r="AK31" s="497" t="s"/>
      <c r="AL31" s="497" t="s"/>
      <c r="AM31" s="497" t="s"/>
      <c r="AN31" s="497" t="s"/>
      <c r="AO31" s="497" t="s"/>
      <c r="AP31" s="497" t="s"/>
      <c r="AQ31" s="497" t="s"/>
      <c r="AR31" s="497" t="s"/>
      <c r="AS31" s="497" t="s"/>
      <c r="AT31" s="497" t="s"/>
    </row>
    <row r="32" spans="1:46" ht="18" customHeight="1">
      <c r="A32" s="107" t="s"/>
      <c r="B32" s="292" t="s"/>
      <c r="C32" s="490" t="s">
        <v>395</v>
      </c>
      <c r="D32" s="490">
        <v>12</v>
      </c>
      <c r="E32" s="490">
        <v>13</v>
      </c>
      <c r="F32" s="490">
        <v>14</v>
      </c>
      <c r="G32" s="490">
        <v>15</v>
      </c>
      <c r="H32" s="490">
        <v>16</v>
      </c>
      <c r="I32" s="490">
        <v>17</v>
      </c>
      <c r="J32" s="490">
        <v>18</v>
      </c>
      <c r="K32" s="490">
        <v>19</v>
      </c>
      <c r="L32" s="490">
        <v>20</v>
      </c>
      <c r="M32" s="490">
        <v>21</v>
      </c>
      <c r="N32" s="490">
        <v>22</v>
      </c>
      <c r="O32" s="490">
        <v>23</v>
      </c>
      <c r="P32" s="509">
        <v>24</v>
      </c>
      <c r="Q32" s="510">
        <v>25</v>
      </c>
      <c r="R32" s="510">
        <v>26</v>
      </c>
      <c r="S32" s="510">
        <v>27</v>
      </c>
      <c r="T32" s="503" t="s"/>
      <c r="U32" s="504" t="s"/>
      <c r="V32" s="497" t="s"/>
      <c r="W32" s="497" t="s"/>
      <c r="X32" s="497" t="s"/>
      <c r="Y32" s="497" t="s"/>
      <c r="Z32" s="497" t="s"/>
      <c r="AA32" s="497" t="s"/>
      <c r="AB32" s="497" t="s"/>
      <c r="AC32" s="497" t="s"/>
      <c r="AD32" s="497" t="s"/>
      <c r="AE32" s="497" t="s"/>
      <c r="AF32" s="497" t="s"/>
      <c r="AG32" s="497" t="s"/>
      <c r="AH32" s="497" t="s"/>
      <c r="AI32" s="497" t="s"/>
      <c r="AJ32" s="497" t="s"/>
      <c r="AK32" s="497" t="s"/>
      <c r="AL32" s="497" t="s"/>
      <c r="AM32" s="497" t="s"/>
      <c r="AN32" s="497" t="s"/>
      <c r="AO32" s="497" t="s"/>
      <c r="AP32" s="497" t="s"/>
      <c r="AQ32" s="497" t="s"/>
      <c r="AR32" s="497" t="s"/>
      <c r="AS32" s="497" t="s"/>
      <c r="AT32" s="497" t="s"/>
    </row>
    <row r="33" spans="1:25" ht="18" customHeight="1">
      <c r="A33" s="511" t="s">
        <v>323</v>
      </c>
      <c r="B33" s="489" t="s">
        <v>405</v>
      </c>
      <c r="C33" s="490" t="s">
        <v>393</v>
      </c>
      <c r="D33" s="501">
        <v>1</v>
      </c>
      <c r="E33" s="501">
        <f>4/E35</f>
        <v>0.8</v>
      </c>
      <c r="F33" s="501">
        <f>4/F35</f>
        <v>0.666666666666667</v>
      </c>
      <c r="G33" s="501">
        <f>4/G35</f>
        <v>0.571428571428572</v>
      </c>
      <c r="H33" s="501">
        <f>4/H35</f>
        <v>0.5</v>
      </c>
      <c r="I33" s="501">
        <f>4/I35</f>
        <v>0.444444444444445</v>
      </c>
      <c r="J33" s="501">
        <f>4/J35</f>
        <v>0.4</v>
      </c>
      <c r="K33" s="512" t="s"/>
      <c r="L33" s="512" t="s"/>
      <c r="M33" s="512" t="s"/>
      <c r="N33" s="512" t="s"/>
      <c r="O33" s="513" t="s"/>
      <c r="P33" s="504" t="s"/>
      <c r="Q33" s="514" t="s"/>
      <c r="R33" s="514" t="s"/>
      <c r="S33" s="514" t="s"/>
      <c r="T33" s="503" t="s"/>
      <c r="U33" s="504" t="s"/>
      <c r="V33" s="494" t="s"/>
      <c r="W33" s="494" t="s"/>
      <c r="X33" s="494" t="s"/>
      <c r="Y33" s="494" t="s"/>
    </row>
    <row r="34" spans="1:25" ht="18" customHeight="1">
      <c r="A34" s="104" t="s"/>
      <c r="B34" s="292" t="s"/>
      <c r="C34" s="490" t="s">
        <v>394</v>
      </c>
      <c r="D34" s="505">
        <v>0.86</v>
      </c>
      <c r="E34" s="505">
        <f>D34/(D35-1)*(E35-1)</f>
        <v>1.14666666666667</v>
      </c>
      <c r="F34" s="505">
        <f>E34/(E35-1)*(F35-1)</f>
        <v>1.43333333333333</v>
      </c>
      <c r="G34" s="505">
        <f>F34/(F35-1)*(G35-1)</f>
        <v>1.72</v>
      </c>
      <c r="H34" s="505">
        <f>G34/(G35-1)*(H35-1)</f>
        <v>2.00666666666667</v>
      </c>
      <c r="I34" s="505">
        <f>H34/(H35-1)*(I35-1)</f>
        <v>2.29333333333333</v>
      </c>
      <c r="J34" s="505">
        <f>I34/(I35-1)*(J35-1)</f>
        <v>2.58</v>
      </c>
      <c r="K34" s="512" t="s"/>
      <c r="L34" s="512" t="s"/>
      <c r="M34" s="512" t="s"/>
      <c r="N34" s="512" t="s"/>
      <c r="O34" s="513" t="s"/>
      <c r="P34" s="504" t="s"/>
      <c r="Q34" s="514" t="s"/>
      <c r="R34" s="514" t="s"/>
      <c r="S34" s="514" t="s"/>
      <c r="T34" s="503" t="s"/>
      <c r="U34" s="504" t="s"/>
      <c r="V34" s="487" t="s"/>
      <c r="W34" s="494" t="s"/>
      <c r="X34" s="494" t="s"/>
      <c r="Y34" s="494" t="s"/>
    </row>
    <row r="35" spans="1:25" ht="18" customHeight="1">
      <c r="A35" s="104" t="s"/>
      <c r="B35" s="292" t="s"/>
      <c r="C35" s="490" t="s">
        <v>395</v>
      </c>
      <c r="D35" s="490">
        <v>4</v>
      </c>
      <c r="E35" s="490">
        <v>5</v>
      </c>
      <c r="F35" s="490">
        <v>6</v>
      </c>
      <c r="G35" s="490">
        <v>7</v>
      </c>
      <c r="H35" s="490">
        <v>8</v>
      </c>
      <c r="I35" s="490">
        <v>9</v>
      </c>
      <c r="J35" s="490">
        <v>10</v>
      </c>
      <c r="K35" s="512" t="s"/>
      <c r="L35" s="512" t="s"/>
      <c r="M35" s="512" t="s"/>
      <c r="N35" s="512" t="s"/>
      <c r="O35" s="512" t="s"/>
      <c r="P35" s="504" t="s"/>
      <c r="Q35" s="514" t="s"/>
      <c r="R35" s="514" t="s"/>
      <c r="S35" s="514" t="s"/>
      <c r="T35" s="503" t="s"/>
      <c r="U35" s="504" t="s"/>
      <c r="V35" s="487" t="s"/>
      <c r="W35" s="494" t="s"/>
      <c r="X35" s="494" t="s"/>
      <c r="Y35" s="494" t="s"/>
    </row>
    <row r="36" spans="1:25" ht="18" customHeight="1">
      <c r="A36" s="104" t="s"/>
      <c r="B36" s="489" t="s">
        <v>406</v>
      </c>
      <c r="C36" s="490" t="s">
        <v>393</v>
      </c>
      <c r="D36" s="501">
        <v>1</v>
      </c>
      <c r="E36" s="501">
        <f>4/E38</f>
        <v>0.8</v>
      </c>
      <c r="F36" s="515" t="s"/>
      <c r="G36" s="515" t="s"/>
      <c r="H36" s="515" t="s"/>
      <c r="I36" s="515" t="s"/>
      <c r="J36" s="515" t="s"/>
      <c r="K36" s="512" t="s"/>
      <c r="L36" s="512" t="s"/>
      <c r="M36" s="512" t="s"/>
      <c r="N36" s="512" t="s"/>
      <c r="O36" s="512" t="s"/>
      <c r="P36" s="504" t="s"/>
      <c r="Q36" s="503" t="s"/>
      <c r="R36" s="503" t="s"/>
      <c r="S36" s="503" t="s"/>
      <c r="T36" s="503" t="s"/>
      <c r="U36" s="504" t="s"/>
      <c r="V36" s="487" t="s"/>
      <c r="W36" s="494" t="s"/>
      <c r="X36" s="494" t="s"/>
      <c r="Y36" s="494" t="s"/>
    </row>
    <row r="37" spans="1:25" ht="18" customHeight="1">
      <c r="A37" s="104" t="s"/>
      <c r="B37" s="292" t="s"/>
      <c r="C37" s="490" t="s">
        <v>394</v>
      </c>
      <c r="D37" s="505">
        <v>0.94</v>
      </c>
      <c r="E37" s="505">
        <f>D37/(D38-1)*(E38-1)</f>
        <v>1.25333333333333</v>
      </c>
      <c r="F37" s="515" t="s"/>
      <c r="G37" s="515" t="s"/>
      <c r="H37" s="515" t="s"/>
      <c r="I37" s="515" t="s"/>
      <c r="J37" s="515" t="s"/>
      <c r="K37" s="512" t="s"/>
      <c r="L37" s="512" t="s"/>
      <c r="M37" s="512" t="s"/>
      <c r="N37" s="512" t="s"/>
      <c r="O37" s="512" t="s"/>
      <c r="P37" s="504" t="s"/>
      <c r="Q37" s="503" t="s"/>
      <c r="R37" s="503" t="s"/>
      <c r="S37" s="503" t="s"/>
      <c r="T37" s="503" t="s"/>
      <c r="U37" s="504" t="s"/>
      <c r="V37" s="487" t="s"/>
      <c r="W37" s="494" t="s"/>
      <c r="X37" s="494" t="s"/>
      <c r="Y37" s="494" t="s"/>
    </row>
    <row r="38" spans="1:25" ht="18" customHeight="1">
      <c r="A38" s="104" t="s"/>
      <c r="B38" s="292" t="s"/>
      <c r="C38" s="490" t="s">
        <v>395</v>
      </c>
      <c r="D38" s="490">
        <v>4</v>
      </c>
      <c r="E38" s="490">
        <v>5</v>
      </c>
      <c r="F38" s="515" t="s"/>
      <c r="G38" s="515" t="s"/>
      <c r="H38" s="515" t="s"/>
      <c r="I38" s="515" t="s"/>
      <c r="J38" s="515" t="s"/>
      <c r="K38" s="512" t="s"/>
      <c r="L38" s="512" t="s"/>
      <c r="M38" s="512" t="s"/>
      <c r="N38" s="512" t="s"/>
      <c r="O38" s="513" t="s"/>
      <c r="P38" s="504" t="s"/>
      <c r="Q38" s="504" t="s"/>
      <c r="R38" s="504" t="s"/>
      <c r="S38" s="504" t="s"/>
      <c r="T38" s="504" t="s"/>
      <c r="U38" s="504" t="s"/>
      <c r="V38" s="487" t="s"/>
      <c r="W38" s="494" t="s"/>
      <c r="X38" s="494" t="s"/>
      <c r="Y38" s="494" t="s"/>
    </row>
    <row r="39" spans="1:46" ht="18" customHeight="1">
      <c r="A39" s="104" t="s"/>
      <c r="B39" s="489" t="s">
        <v>407</v>
      </c>
      <c r="C39" s="490" t="s">
        <v>393</v>
      </c>
      <c r="D39" s="501">
        <v>1</v>
      </c>
      <c r="E39" s="501">
        <f>4/E41</f>
        <v>0.8</v>
      </c>
      <c r="F39" s="501">
        <f>4/F41</f>
        <v>0.666666666666667</v>
      </c>
      <c r="G39" s="501">
        <f>4/G41</f>
        <v>0.571428571428572</v>
      </c>
      <c r="H39" s="501">
        <f>4/H41</f>
        <v>0.5</v>
      </c>
      <c r="I39" s="515" t="s"/>
      <c r="J39" s="515" t="s"/>
      <c r="K39" s="512" t="s"/>
      <c r="L39" s="512" t="s"/>
      <c r="M39" s="512" t="s"/>
      <c r="N39" s="512" t="s"/>
      <c r="O39" s="513" t="s"/>
      <c r="P39" s="504" t="s"/>
      <c r="Q39" s="504" t="s"/>
      <c r="R39" s="504" t="s"/>
      <c r="S39" s="504" t="s"/>
      <c r="T39" s="504" t="s"/>
      <c r="U39" s="504" t="s"/>
      <c r="V39" s="487" t="s"/>
      <c r="W39" s="487" t="s"/>
      <c r="X39" s="487" t="s"/>
      <c r="Y39" s="487" t="s"/>
      <c r="Z39" s="497" t="s"/>
      <c r="AA39" s="497" t="s"/>
      <c r="AB39" s="497" t="s"/>
      <c r="AC39" s="497" t="s"/>
      <c r="AD39" s="497" t="s"/>
      <c r="AE39" s="497" t="s"/>
      <c r="AF39" s="497" t="s"/>
      <c r="AG39" s="497" t="s"/>
      <c r="AH39" s="497" t="s"/>
      <c r="AI39" s="497" t="s"/>
      <c r="AJ39" s="497" t="s"/>
      <c r="AK39" s="497" t="s"/>
      <c r="AL39" s="497" t="s"/>
      <c r="AM39" s="497" t="s"/>
      <c r="AN39" s="497" t="s"/>
      <c r="AO39" s="497" t="s"/>
      <c r="AP39" s="497" t="s"/>
      <c r="AQ39" s="497" t="s"/>
      <c r="AR39" s="497" t="s"/>
      <c r="AS39" s="497" t="s"/>
      <c r="AT39" s="497" t="s"/>
    </row>
    <row r="40" spans="1:46" ht="18" customHeight="1">
      <c r="A40" s="104" t="s"/>
      <c r="B40" s="292" t="s"/>
      <c r="C40" s="490" t="s">
        <v>394</v>
      </c>
      <c r="D40" s="505">
        <v>0.93</v>
      </c>
      <c r="E40" s="505">
        <f>D40/(D41-1)*(E41-1)</f>
        <v>1.24</v>
      </c>
      <c r="F40" s="505">
        <f>E40/(E41-1)*(F41-1)</f>
        <v>1.55</v>
      </c>
      <c r="G40" s="505">
        <f>F40/(F41-1)*(G41-1)</f>
        <v>1.86</v>
      </c>
      <c r="H40" s="505">
        <f>G40/(G41-1)*(H41-1)</f>
        <v>2.17</v>
      </c>
      <c r="I40" s="515" t="s"/>
      <c r="J40" s="515" t="s"/>
      <c r="K40" s="512" t="s"/>
      <c r="L40" s="512" t="s"/>
      <c r="M40" s="512" t="s"/>
      <c r="N40" s="512" t="s"/>
      <c r="O40" s="513" t="s"/>
      <c r="P40" s="504" t="s"/>
      <c r="Q40" s="504" t="s"/>
      <c r="R40" s="504" t="s"/>
      <c r="S40" s="504" t="s"/>
      <c r="T40" s="504" t="s"/>
      <c r="U40" s="504" t="s"/>
      <c r="V40" s="487" t="s"/>
      <c r="W40" s="487" t="s"/>
      <c r="X40" s="487" t="s"/>
      <c r="Y40" s="487" t="s"/>
      <c r="Z40" s="497" t="s"/>
      <c r="AA40" s="497" t="s"/>
      <c r="AB40" s="497" t="s"/>
      <c r="AC40" s="497" t="s"/>
      <c r="AD40" s="497" t="s"/>
      <c r="AE40" s="497" t="s"/>
      <c r="AF40" s="497" t="s"/>
      <c r="AG40" s="497" t="s"/>
      <c r="AH40" s="497" t="s"/>
      <c r="AI40" s="497" t="s"/>
      <c r="AJ40" s="497" t="s"/>
      <c r="AK40" s="497" t="s"/>
      <c r="AL40" s="497" t="s"/>
      <c r="AM40" s="497" t="s"/>
      <c r="AN40" s="497" t="s"/>
      <c r="AO40" s="497" t="s"/>
      <c r="AP40" s="497" t="s"/>
      <c r="AQ40" s="497" t="s"/>
      <c r="AR40" s="497" t="s"/>
      <c r="AS40" s="497" t="s"/>
      <c r="AT40" s="497" t="s"/>
    </row>
    <row r="41" spans="1:46" ht="18" customHeight="1">
      <c r="A41" s="104" t="s"/>
      <c r="B41" s="292" t="s"/>
      <c r="C41" s="490" t="s">
        <v>395</v>
      </c>
      <c r="D41" s="490">
        <v>4</v>
      </c>
      <c r="E41" s="490">
        <v>5</v>
      </c>
      <c r="F41" s="490">
        <v>6</v>
      </c>
      <c r="G41" s="490">
        <v>7</v>
      </c>
      <c r="H41" s="490">
        <v>8</v>
      </c>
      <c r="I41" s="515" t="s"/>
      <c r="J41" s="515" t="s"/>
      <c r="K41" s="512" t="s"/>
      <c r="L41" s="512" t="s"/>
      <c r="M41" s="512" t="s"/>
      <c r="N41" s="512" t="s"/>
      <c r="O41" s="513" t="s"/>
      <c r="P41" s="504" t="s"/>
      <c r="Q41" s="504" t="s"/>
      <c r="R41" s="504" t="s"/>
      <c r="S41" s="504" t="s"/>
      <c r="T41" s="504" t="s"/>
      <c r="U41" s="504" t="s"/>
      <c r="V41" s="487" t="s"/>
      <c r="W41" s="487" t="s"/>
      <c r="X41" s="487" t="s"/>
      <c r="Y41" s="487" t="s"/>
      <c r="Z41" s="497" t="s"/>
      <c r="AA41" s="497" t="s"/>
      <c r="AB41" s="497" t="s"/>
      <c r="AC41" s="497" t="s"/>
      <c r="AD41" s="497" t="s"/>
      <c r="AE41" s="497" t="s"/>
      <c r="AF41" s="497" t="s"/>
      <c r="AG41" s="497" t="s"/>
      <c r="AH41" s="497" t="s"/>
      <c r="AI41" s="497" t="s"/>
      <c r="AJ41" s="497" t="s"/>
      <c r="AK41" s="497" t="s"/>
      <c r="AL41" s="497" t="s"/>
      <c r="AM41" s="497" t="s"/>
      <c r="AN41" s="497" t="s"/>
      <c r="AO41" s="497" t="s"/>
      <c r="AP41" s="497" t="s"/>
      <c r="AQ41" s="497" t="s"/>
      <c r="AR41" s="497" t="s"/>
      <c r="AS41" s="497" t="s"/>
      <c r="AT41" s="497" t="s"/>
    </row>
    <row r="42" spans="1:46" ht="18" customHeight="1">
      <c r="A42" s="104" t="s"/>
      <c r="B42" s="489" t="s">
        <v>408</v>
      </c>
      <c r="C42" s="490" t="s">
        <v>393</v>
      </c>
      <c r="D42" s="501">
        <v>1</v>
      </c>
      <c r="E42" s="501">
        <f>4/E44</f>
        <v>0.8</v>
      </c>
      <c r="F42" s="501">
        <f>4/F44</f>
        <v>0.666666666666667</v>
      </c>
      <c r="G42" s="501">
        <f>4/G44</f>
        <v>0.571428571428572</v>
      </c>
      <c r="H42" s="501">
        <f>4/H44</f>
        <v>0.5</v>
      </c>
      <c r="I42" s="501">
        <f>4/I44</f>
        <v>0.444444444444445</v>
      </c>
      <c r="J42" s="515" t="s"/>
      <c r="K42" s="512" t="s"/>
      <c r="L42" s="512" t="s"/>
      <c r="M42" s="512" t="s"/>
      <c r="N42" s="512" t="s"/>
      <c r="O42" s="513" t="s"/>
      <c r="P42" s="504" t="s"/>
      <c r="Q42" s="504" t="s"/>
      <c r="R42" s="504" t="s"/>
      <c r="S42" s="504" t="s"/>
      <c r="T42" s="504" t="s"/>
      <c r="U42" s="504" t="s"/>
      <c r="V42" s="487" t="s"/>
      <c r="W42" s="487" t="s"/>
      <c r="X42" s="487" t="s"/>
      <c r="Y42" s="487" t="s"/>
      <c r="Z42" s="497" t="s"/>
      <c r="AA42" s="497" t="s"/>
      <c r="AB42" s="497" t="s"/>
      <c r="AC42" s="497" t="s"/>
      <c r="AD42" s="497" t="s"/>
      <c r="AE42" s="497" t="s"/>
      <c r="AF42" s="497" t="s"/>
      <c r="AG42" s="497" t="s"/>
      <c r="AH42" s="497" t="s"/>
      <c r="AI42" s="497" t="s"/>
      <c r="AJ42" s="497" t="s"/>
      <c r="AK42" s="497" t="s"/>
      <c r="AL42" s="497" t="s"/>
      <c r="AM42" s="497" t="s"/>
      <c r="AN42" s="497" t="s"/>
      <c r="AO42" s="497" t="s"/>
      <c r="AP42" s="497" t="s"/>
      <c r="AQ42" s="497" t="s"/>
      <c r="AR42" s="497" t="s"/>
      <c r="AS42" s="497" t="s"/>
      <c r="AT42" s="497" t="s"/>
    </row>
    <row r="43" spans="1:46" ht="18" customHeight="1">
      <c r="A43" s="104" t="s"/>
      <c r="B43" s="292" t="s"/>
      <c r="C43" s="490" t="s">
        <v>394</v>
      </c>
      <c r="D43" s="505">
        <v>0.85</v>
      </c>
      <c r="E43" s="505">
        <f>D43/(D44-1)*(E44-1)</f>
        <v>1.13333333333333</v>
      </c>
      <c r="F43" s="505">
        <f>E43/(E44-1)*(F44-1)</f>
        <v>1.41666666666667</v>
      </c>
      <c r="G43" s="505">
        <f>F43/(F44-1)*(G44-1)</f>
        <v>1.7</v>
      </c>
      <c r="H43" s="505">
        <f>G43/(G44-1)*(H44-1)</f>
        <v>1.98333333333333</v>
      </c>
      <c r="I43" s="505">
        <f>H43/(H44-1)*(I44-1)</f>
        <v>2.26666666666667</v>
      </c>
      <c r="J43" s="515" t="s"/>
      <c r="K43" s="512" t="s"/>
      <c r="L43" s="512" t="s"/>
      <c r="M43" s="512" t="s"/>
      <c r="N43" s="512" t="s"/>
      <c r="O43" s="513" t="s"/>
      <c r="P43" s="504" t="s"/>
      <c r="Q43" s="504" t="s"/>
      <c r="R43" s="504" t="s"/>
      <c r="S43" s="504" t="s"/>
      <c r="T43" s="504" t="s"/>
      <c r="U43" s="504" t="s"/>
      <c r="V43" s="487" t="s"/>
      <c r="W43" s="487" t="s"/>
      <c r="X43" s="487" t="s"/>
      <c r="Y43" s="487" t="s"/>
      <c r="Z43" s="497" t="s"/>
      <c r="AA43" s="497" t="s"/>
      <c r="AB43" s="497" t="s"/>
      <c r="AC43" s="497" t="s"/>
      <c r="AD43" s="497" t="s"/>
      <c r="AE43" s="497" t="s"/>
      <c r="AF43" s="497" t="s"/>
      <c r="AG43" s="497" t="s"/>
      <c r="AH43" s="497" t="s"/>
      <c r="AI43" s="497" t="s"/>
      <c r="AJ43" s="497" t="s"/>
      <c r="AK43" s="497" t="s"/>
      <c r="AL43" s="497" t="s"/>
      <c r="AM43" s="497" t="s"/>
      <c r="AN43" s="497" t="s"/>
      <c r="AO43" s="497" t="s"/>
      <c r="AP43" s="497" t="s"/>
      <c r="AQ43" s="497" t="s"/>
      <c r="AR43" s="497" t="s"/>
      <c r="AS43" s="497" t="s"/>
      <c r="AT43" s="497" t="s"/>
    </row>
    <row r="44" spans="1:46" ht="18" customHeight="1">
      <c r="A44" s="104" t="s"/>
      <c r="B44" s="292" t="s"/>
      <c r="C44" s="490" t="s">
        <v>395</v>
      </c>
      <c r="D44" s="490">
        <v>4</v>
      </c>
      <c r="E44" s="490">
        <v>5</v>
      </c>
      <c r="F44" s="490">
        <v>6</v>
      </c>
      <c r="G44" s="490">
        <v>7</v>
      </c>
      <c r="H44" s="490">
        <v>8</v>
      </c>
      <c r="I44" s="490">
        <v>9</v>
      </c>
      <c r="J44" s="515" t="s"/>
      <c r="K44" s="512" t="s"/>
      <c r="L44" s="512" t="s"/>
      <c r="M44" s="512" t="s"/>
      <c r="N44" s="512" t="s"/>
      <c r="O44" s="513" t="s"/>
      <c r="P44" s="504" t="s"/>
      <c r="Q44" s="504" t="s"/>
      <c r="R44" s="504" t="s"/>
      <c r="S44" s="504" t="s"/>
      <c r="T44" s="504" t="s"/>
      <c r="U44" s="504" t="s"/>
      <c r="V44" s="487" t="s"/>
      <c r="W44" s="487" t="s"/>
      <c r="X44" s="487" t="s"/>
      <c r="Y44" s="487" t="s"/>
      <c r="Z44" s="497" t="s"/>
      <c r="AA44" s="497" t="s"/>
      <c r="AB44" s="497" t="s"/>
      <c r="AC44" s="497" t="s"/>
      <c r="AD44" s="497" t="s"/>
      <c r="AE44" s="497" t="s"/>
      <c r="AF44" s="497" t="s"/>
      <c r="AG44" s="497" t="s"/>
      <c r="AH44" s="497" t="s"/>
      <c r="AI44" s="497" t="s"/>
      <c r="AJ44" s="497" t="s"/>
      <c r="AK44" s="497" t="s"/>
      <c r="AL44" s="497" t="s"/>
      <c r="AM44" s="497" t="s"/>
      <c r="AN44" s="497" t="s"/>
      <c r="AO44" s="497" t="s"/>
      <c r="AP44" s="497" t="s"/>
      <c r="AQ44" s="497" t="s"/>
      <c r="AR44" s="497" t="s"/>
      <c r="AS44" s="497" t="s"/>
      <c r="AT44" s="497" t="s"/>
    </row>
    <row r="45" spans="1:25">
      <c r="A45" s="104" t="s"/>
      <c r="B45" s="489" t="s">
        <v>409</v>
      </c>
      <c r="C45" s="490" t="s">
        <v>393</v>
      </c>
      <c r="D45" s="501">
        <v>1</v>
      </c>
      <c r="E45" s="501">
        <f>2/E47</f>
        <v>0.666666666666667</v>
      </c>
      <c r="F45" s="501">
        <f>2/F47</f>
        <v>0.5</v>
      </c>
      <c r="G45" s="501">
        <f>2/G47</f>
        <v>0.4</v>
      </c>
      <c r="H45" s="504" t="s"/>
      <c r="I45" s="504" t="s"/>
      <c r="J45" s="504" t="s"/>
      <c r="K45" s="516" t="s"/>
      <c r="L45" s="516" t="s"/>
      <c r="M45" s="516" t="s"/>
      <c r="N45" s="516" t="s"/>
      <c r="O45" s="516" t="s"/>
      <c r="P45" s="516" t="s"/>
      <c r="Q45" s="516" t="s"/>
      <c r="R45" s="516" t="s"/>
      <c r="S45" s="516" t="s"/>
      <c r="T45" s="516" t="s"/>
      <c r="U45" s="516" t="s"/>
      <c r="V45" s="494" t="s"/>
      <c r="W45" s="494" t="s"/>
      <c r="X45" s="494" t="s"/>
      <c r="Y45" s="494" t="s"/>
    </row>
    <row r="46" spans="1:25">
      <c r="A46" s="104" t="s"/>
      <c r="B46" s="481" t="s"/>
      <c r="C46" s="490" t="s">
        <v>394</v>
      </c>
      <c r="D46" s="505">
        <v>1.06</v>
      </c>
      <c r="E46" s="505">
        <f>D46/(D47-1)*(E47-1)</f>
        <v>2.12</v>
      </c>
      <c r="F46" s="505">
        <f>E46/(E47-1)*(F47-1)</f>
        <v>3.18</v>
      </c>
      <c r="G46" s="505">
        <f>F46/(F47-1)*(G47-1)</f>
        <v>4.24</v>
      </c>
      <c r="H46" s="504" t="s"/>
      <c r="I46" s="504" t="s"/>
      <c r="J46" s="504" t="s"/>
      <c r="K46" s="516" t="s"/>
      <c r="L46" s="516" t="s"/>
      <c r="M46" s="516" t="s"/>
      <c r="N46" s="516" t="s"/>
      <c r="O46" s="516" t="s"/>
      <c r="P46" s="516" t="s"/>
      <c r="Q46" s="516" t="s"/>
      <c r="R46" s="516" t="s"/>
      <c r="S46" s="516" t="s"/>
      <c r="T46" s="516" t="s"/>
      <c r="U46" s="516" t="s"/>
      <c r="V46" s="494" t="s"/>
      <c r="W46" s="494" t="s"/>
      <c r="X46" s="494" t="s"/>
      <c r="Y46" s="494" t="s"/>
    </row>
    <row r="47" spans="1:25">
      <c r="A47" s="104" t="s"/>
      <c r="B47" s="481" t="s"/>
      <c r="C47" s="490" t="s">
        <v>395</v>
      </c>
      <c r="D47" s="490">
        <v>2</v>
      </c>
      <c r="E47" s="490">
        <v>3</v>
      </c>
      <c r="F47" s="490">
        <v>4</v>
      </c>
      <c r="G47" s="490">
        <v>5</v>
      </c>
      <c r="H47" s="504" t="s"/>
      <c r="I47" s="504" t="s"/>
      <c r="J47" s="504" t="s"/>
      <c r="K47" s="516" t="s"/>
      <c r="L47" s="516" t="s"/>
      <c r="M47" s="516" t="s"/>
      <c r="N47" s="516" t="s"/>
      <c r="O47" s="516" t="s"/>
      <c r="P47" s="516" t="s"/>
      <c r="Q47" s="516" t="s"/>
      <c r="R47" s="516" t="s"/>
      <c r="S47" s="516" t="s"/>
      <c r="T47" s="516" t="s"/>
      <c r="U47" s="516" t="s"/>
      <c r="V47" s="494" t="s"/>
      <c r="W47" s="494" t="s"/>
      <c r="X47" s="494" t="s"/>
      <c r="Y47" s="494" t="s"/>
    </row>
    <row r="48" spans="1:25" ht="18" customHeight="1">
      <c r="A48" s="104" t="s"/>
      <c r="B48" s="489" t="s">
        <v>410</v>
      </c>
      <c r="C48" s="490" t="s">
        <v>393</v>
      </c>
      <c r="D48" s="501">
        <v>1</v>
      </c>
      <c r="E48" s="501">
        <f>3/E50</f>
        <v>0.75</v>
      </c>
      <c r="F48" s="501">
        <f>3/F50</f>
        <v>0.6</v>
      </c>
      <c r="G48" s="515" t="s"/>
      <c r="H48" s="504" t="s"/>
      <c r="I48" s="504" t="s"/>
      <c r="J48" s="504" t="s"/>
      <c r="K48" s="504" t="s"/>
      <c r="L48" s="504" t="s"/>
      <c r="M48" s="504" t="s"/>
      <c r="N48" s="504" t="s"/>
      <c r="O48" s="504" t="s"/>
      <c r="P48" s="504" t="s"/>
      <c r="Q48" s="504" t="s"/>
      <c r="R48" s="504" t="s"/>
      <c r="S48" s="504" t="s"/>
      <c r="T48" s="504" t="s"/>
      <c r="U48" s="504" t="s"/>
      <c r="V48" s="487" t="s"/>
      <c r="W48" s="487" t="s"/>
      <c r="X48" s="487" t="s"/>
      <c r="Y48" s="487" t="s"/>
    </row>
    <row r="49" spans="1:25" ht="18" customHeight="1">
      <c r="A49" s="104" t="s"/>
      <c r="B49" s="292" t="s"/>
      <c r="C49" s="490" t="s">
        <v>394</v>
      </c>
      <c r="D49" s="505">
        <v>1.52</v>
      </c>
      <c r="E49" s="505">
        <f>D49/(D50-1)*(E50-1)</f>
        <v>2.28</v>
      </c>
      <c r="F49" s="505">
        <f>E49/(E50-1)*(F50-1)</f>
        <v>3.04</v>
      </c>
      <c r="G49" s="515" t="s"/>
      <c r="H49" s="504" t="s"/>
      <c r="I49" s="504" t="s"/>
      <c r="J49" s="504" t="s"/>
      <c r="K49" s="504" t="s"/>
      <c r="L49" s="504" t="s"/>
      <c r="M49" s="504" t="s"/>
      <c r="N49" s="504" t="s"/>
      <c r="O49" s="504" t="s"/>
      <c r="P49" s="504" t="s"/>
      <c r="Q49" s="504" t="s"/>
      <c r="R49" s="504" t="s"/>
      <c r="S49" s="504" t="s"/>
      <c r="T49" s="504" t="s"/>
      <c r="U49" s="504" t="s"/>
      <c r="V49" s="487" t="s"/>
      <c r="W49" s="487" t="s"/>
      <c r="X49" s="487" t="s"/>
      <c r="Y49" s="487" t="s"/>
    </row>
    <row r="50" spans="1:25" ht="18" customHeight="1">
      <c r="A50" s="104" t="s"/>
      <c r="B50" s="292" t="s"/>
      <c r="C50" s="490" t="s">
        <v>395</v>
      </c>
      <c r="D50" s="490">
        <v>3</v>
      </c>
      <c r="E50" s="490">
        <v>4</v>
      </c>
      <c r="F50" s="490">
        <v>5</v>
      </c>
      <c r="G50" s="515" t="s"/>
      <c r="H50" s="504" t="s"/>
      <c r="I50" s="504" t="s"/>
      <c r="J50" s="504" t="s"/>
      <c r="K50" s="504" t="s"/>
      <c r="L50" s="504" t="s"/>
      <c r="M50" s="504" t="s"/>
      <c r="N50" s="504" t="s"/>
      <c r="O50" s="504" t="s"/>
      <c r="P50" s="504" t="s"/>
      <c r="Q50" s="504" t="s"/>
      <c r="R50" s="504" t="s"/>
      <c r="S50" s="504" t="s"/>
      <c r="T50" s="504" t="s"/>
      <c r="U50" s="504" t="s"/>
      <c r="V50" s="487" t="s"/>
      <c r="W50" s="487" t="s"/>
      <c r="X50" s="487" t="s"/>
      <c r="Y50" s="487" t="s"/>
    </row>
    <row r="51" spans="1:25" ht="18" customHeight="1">
      <c r="A51" s="104" t="s"/>
      <c r="B51" s="489" t="s">
        <v>411</v>
      </c>
      <c r="C51" s="490" t="s">
        <v>393</v>
      </c>
      <c r="D51" s="501">
        <v>1</v>
      </c>
      <c r="E51" s="501">
        <f>3/E53</f>
        <v>0.75</v>
      </c>
      <c r="F51" s="501">
        <f>3/F53</f>
        <v>0.6</v>
      </c>
      <c r="G51" s="501">
        <f>3/G53</f>
        <v>0.5</v>
      </c>
      <c r="H51" s="504" t="s"/>
      <c r="I51" s="504" t="s"/>
      <c r="J51" s="504" t="s"/>
      <c r="K51" s="504" t="s"/>
      <c r="L51" s="504" t="s"/>
      <c r="M51" s="504" t="s"/>
      <c r="N51" s="504" t="s"/>
      <c r="O51" s="504" t="s"/>
      <c r="P51" s="504" t="s"/>
      <c r="Q51" s="504" t="s"/>
      <c r="R51" s="504" t="s"/>
      <c r="S51" s="504" t="s"/>
      <c r="T51" s="504" t="s"/>
      <c r="U51" s="504" t="s"/>
      <c r="V51" s="487" t="s"/>
      <c r="W51" s="487" t="s"/>
      <c r="X51" s="487" t="s"/>
      <c r="Y51" s="487" t="s"/>
    </row>
    <row r="52" spans="1:25" ht="18" customHeight="1">
      <c r="A52" s="104" t="s"/>
      <c r="B52" s="292" t="s"/>
      <c r="C52" s="490" t="s">
        <v>394</v>
      </c>
      <c r="D52" s="505">
        <v>1.41</v>
      </c>
      <c r="E52" s="505">
        <f>D52/(D53-1)*(E53-1)</f>
        <v>2.115</v>
      </c>
      <c r="F52" s="505">
        <f>E52/(E53-1)*(F53-1)</f>
        <v>2.82</v>
      </c>
      <c r="G52" s="505">
        <f>F52/(F53-1)*(G53-1)</f>
        <v>3.525</v>
      </c>
      <c r="H52" s="504" t="s"/>
      <c r="I52" s="504" t="s"/>
      <c r="J52" s="504" t="s"/>
      <c r="K52" s="504" t="s"/>
      <c r="L52" s="504" t="s"/>
      <c r="M52" s="504" t="s"/>
      <c r="N52" s="504" t="s"/>
      <c r="O52" s="504" t="s"/>
      <c r="P52" s="504" t="s"/>
      <c r="Q52" s="504" t="s"/>
      <c r="R52" s="504" t="s"/>
      <c r="S52" s="504" t="s"/>
      <c r="T52" s="504" t="s"/>
      <c r="U52" s="504" t="s"/>
      <c r="V52" s="487" t="s"/>
      <c r="W52" s="487" t="s"/>
      <c r="X52" s="487" t="s"/>
      <c r="Y52" s="487" t="s"/>
    </row>
    <row r="53" spans="1:25" ht="18" customHeight="1">
      <c r="A53" s="107" t="s"/>
      <c r="B53" s="292" t="s"/>
      <c r="C53" s="490" t="s">
        <v>395</v>
      </c>
      <c r="D53" s="490">
        <v>3</v>
      </c>
      <c r="E53" s="490">
        <v>4</v>
      </c>
      <c r="F53" s="490">
        <v>5</v>
      </c>
      <c r="G53" s="490">
        <v>6</v>
      </c>
      <c r="H53" s="504" t="s"/>
      <c r="I53" s="504" t="s"/>
      <c r="J53" s="504" t="s"/>
      <c r="K53" s="504" t="s"/>
      <c r="L53" s="504" t="s"/>
      <c r="M53" s="504" t="s"/>
      <c r="N53" s="504" t="s"/>
      <c r="O53" s="504" t="s"/>
      <c r="P53" s="504" t="s"/>
      <c r="Q53" s="504" t="s"/>
      <c r="R53" s="504" t="s"/>
      <c r="S53" s="504" t="s"/>
      <c r="T53" s="504" t="s"/>
      <c r="U53" s="504" t="s"/>
      <c r="V53" s="487" t="s"/>
      <c r="W53" s="487" t="s"/>
      <c r="X53" s="487" t="s"/>
      <c r="Y53" s="487" t="s"/>
    </row>
    <row r="54" spans="1:46" ht="18" customHeight="1">
      <c r="A54" s="517" t="s">
        <v>315</v>
      </c>
      <c r="B54" s="518" t="s">
        <v>412</v>
      </c>
      <c r="C54" s="519" t="s">
        <v>393</v>
      </c>
      <c r="D54" s="520">
        <v>1</v>
      </c>
      <c r="E54" s="520">
        <v>0.9167</v>
      </c>
      <c r="F54" s="520">
        <v>0.8462</v>
      </c>
      <c r="G54" s="521">
        <v>0.7857</v>
      </c>
      <c r="H54" s="521">
        <v>0.7333</v>
      </c>
      <c r="I54" s="521">
        <v>0.6875</v>
      </c>
      <c r="J54" s="521">
        <v>0.6471</v>
      </c>
      <c r="K54" s="521">
        <v>0.6111</v>
      </c>
      <c r="L54" s="521">
        <v>0.5789</v>
      </c>
      <c r="M54" s="521">
        <v>0.55</v>
      </c>
      <c r="N54" s="521">
        <v>0.5238</v>
      </c>
      <c r="O54" s="521">
        <v>0.5</v>
      </c>
      <c r="P54" s="521">
        <v>0.4783</v>
      </c>
      <c r="Q54" s="521">
        <v>0.4583</v>
      </c>
      <c r="R54" s="521">
        <v>0.44</v>
      </c>
      <c r="S54" s="521">
        <v>0.4231</v>
      </c>
      <c r="T54" s="521">
        <v>0.4074</v>
      </c>
      <c r="U54" s="521">
        <v>0.3929</v>
      </c>
      <c r="V54" s="522">
        <v>0.3793</v>
      </c>
      <c r="W54" s="523" t="s"/>
      <c r="X54" s="523" t="s"/>
      <c r="Y54" s="523" t="s"/>
      <c r="Z54" s="524" t="s"/>
      <c r="AA54" s="524" t="s"/>
      <c r="AB54" s="524" t="s"/>
      <c r="AC54" s="524" t="s"/>
      <c r="AD54" s="524" t="s"/>
      <c r="AE54" s="524" t="s"/>
      <c r="AF54" s="524" t="s"/>
      <c r="AG54" s="524" t="s"/>
      <c r="AH54" s="524" t="s"/>
      <c r="AI54" s="524" t="s"/>
      <c r="AJ54" s="524" t="s"/>
      <c r="AK54" s="524" t="s"/>
      <c r="AL54" s="524" t="s"/>
      <c r="AM54" s="524" t="s"/>
      <c r="AN54" s="524" t="s"/>
      <c r="AO54" s="524" t="s"/>
      <c r="AP54" s="524" t="s"/>
      <c r="AQ54" s="524" t="s"/>
      <c r="AR54" s="524" t="s"/>
      <c r="AS54" s="524" t="s"/>
      <c r="AT54" s="524" t="s"/>
    </row>
    <row r="55" spans="1:46" ht="18" customHeight="1">
      <c r="A55" s="45" t="s"/>
      <c r="B55" s="45" t="s"/>
      <c r="C55" s="525" t="s">
        <v>394</v>
      </c>
      <c r="D55" s="526">
        <v>0.83</v>
      </c>
      <c r="E55" s="505">
        <f>D55/(D56-1)*(E56-1)</f>
        <v>0.913</v>
      </c>
      <c r="F55" s="527">
        <f>E55/(E56-1)*(F56-1)</f>
        <v>0.996</v>
      </c>
      <c r="G55" s="527">
        <f>F55/(F56-1)*(G56-1)</f>
        <v>1.079</v>
      </c>
      <c r="H55" s="527">
        <f>G55/(G56-1)*(H56-1)</f>
        <v>1.162</v>
      </c>
      <c r="I55" s="527">
        <f>H55/(H56-1)*(I56-1)</f>
        <v>1.245</v>
      </c>
      <c r="J55" s="527">
        <f>I55/(I56-1)*(J56-1)</f>
        <v>1.328</v>
      </c>
      <c r="K55" s="527">
        <f>J55/(J56-1)*(K56-1)</f>
        <v>1.411</v>
      </c>
      <c r="L55" s="527">
        <f>K55/(K56-1)*(L56-1)</f>
        <v>1.494</v>
      </c>
      <c r="M55" s="527">
        <f>L55/(L56-1)*(M56-1)</f>
        <v>1.577</v>
      </c>
      <c r="N55" s="527">
        <f>M55/(M56-1)*(N56-1)</f>
        <v>1.66</v>
      </c>
      <c r="O55" s="527">
        <f>N55/(N56-1)*(O56-1)</f>
        <v>1.743</v>
      </c>
      <c r="P55" s="527">
        <f>O55/(O56-1)*(P56-1)</f>
        <v>1.826</v>
      </c>
      <c r="Q55" s="527">
        <f>P55/(P56-1)*(Q56-1)</f>
        <v>1.909</v>
      </c>
      <c r="R55" s="527">
        <f>Q55/(Q56-1)*(R56-1)</f>
        <v>1.992</v>
      </c>
      <c r="S55" s="527">
        <f>R55/(R56-1)*(S56-1)</f>
        <v>2.075</v>
      </c>
      <c r="T55" s="527">
        <f>S55/(S56-1)*(T56-1)</f>
        <v>2.158</v>
      </c>
      <c r="U55" s="527">
        <f>T55/(T56-1)*(U56-1)</f>
        <v>2.241</v>
      </c>
      <c r="V55" s="528">
        <f>U55/(U56-1)*(V56-1)</f>
        <v>2.324</v>
      </c>
      <c r="W55" s="523" t="s"/>
      <c r="X55" s="523" t="s"/>
      <c r="Y55" s="523" t="s"/>
      <c r="Z55" s="524" t="s"/>
      <c r="AA55" s="524" t="s"/>
      <c r="AB55" s="524" t="s"/>
      <c r="AC55" s="524" t="s"/>
      <c r="AD55" s="524" t="s"/>
      <c r="AE55" s="524" t="s"/>
      <c r="AF55" s="524" t="s"/>
      <c r="AG55" s="524" t="s"/>
      <c r="AH55" s="524" t="s"/>
      <c r="AI55" s="524" t="s"/>
      <c r="AJ55" s="524" t="s"/>
      <c r="AK55" s="524" t="s"/>
      <c r="AL55" s="524" t="s"/>
      <c r="AM55" s="524" t="s"/>
      <c r="AN55" s="524" t="s"/>
      <c r="AO55" s="524" t="s"/>
      <c r="AP55" s="524" t="s"/>
      <c r="AQ55" s="524" t="s"/>
      <c r="AR55" s="524" t="s"/>
      <c r="AS55" s="524" t="s"/>
      <c r="AT55" s="524" t="s"/>
    </row>
    <row r="56" spans="1:46" ht="18" customHeight="1">
      <c r="A56" s="45" t="s"/>
      <c r="B56" s="45" t="s"/>
      <c r="C56" s="525" t="s">
        <v>395</v>
      </c>
      <c r="D56" s="525">
        <v>11</v>
      </c>
      <c r="E56" s="525">
        <v>12</v>
      </c>
      <c r="F56" s="525">
        <v>13</v>
      </c>
      <c r="G56" s="529">
        <v>14</v>
      </c>
      <c r="H56" s="529">
        <v>15</v>
      </c>
      <c r="I56" s="529">
        <v>16</v>
      </c>
      <c r="J56" s="529">
        <v>17</v>
      </c>
      <c r="K56" s="529">
        <v>18</v>
      </c>
      <c r="L56" s="529">
        <v>19</v>
      </c>
      <c r="M56" s="529">
        <v>20</v>
      </c>
      <c r="N56" s="529">
        <v>21</v>
      </c>
      <c r="O56" s="529">
        <v>22</v>
      </c>
      <c r="P56" s="529">
        <v>23</v>
      </c>
      <c r="Q56" s="529">
        <v>24</v>
      </c>
      <c r="R56" s="529">
        <v>25</v>
      </c>
      <c r="S56" s="529">
        <v>26</v>
      </c>
      <c r="T56" s="529">
        <v>27</v>
      </c>
      <c r="U56" s="529">
        <v>28</v>
      </c>
      <c r="V56" s="530">
        <v>29</v>
      </c>
      <c r="W56" s="523" t="s"/>
      <c r="X56" s="523" t="s"/>
      <c r="Y56" s="523" t="s"/>
      <c r="Z56" s="524" t="s"/>
      <c r="AA56" s="524" t="s"/>
      <c r="AB56" s="524" t="s"/>
      <c r="AC56" s="524" t="s"/>
      <c r="AD56" s="524" t="s"/>
      <c r="AE56" s="524" t="s"/>
      <c r="AF56" s="524" t="s"/>
      <c r="AG56" s="524" t="s"/>
      <c r="AH56" s="524" t="s"/>
      <c r="AI56" s="524" t="s"/>
      <c r="AJ56" s="524" t="s"/>
      <c r="AK56" s="524" t="s"/>
      <c r="AL56" s="524" t="s"/>
      <c r="AM56" s="524" t="s"/>
      <c r="AN56" s="524" t="s"/>
      <c r="AO56" s="524" t="s"/>
      <c r="AP56" s="524" t="s"/>
      <c r="AQ56" s="524" t="s"/>
      <c r="AR56" s="524" t="s"/>
      <c r="AS56" s="524" t="s"/>
      <c r="AT56" s="524" t="s"/>
    </row>
    <row r="57" spans="1:46" ht="18" customHeight="1">
      <c r="A57" s="45" t="s"/>
      <c r="B57" s="531" t="s">
        <v>413</v>
      </c>
      <c r="C57" s="525" t="s">
        <v>393</v>
      </c>
      <c r="D57" s="532">
        <v>1</v>
      </c>
      <c r="E57" s="532">
        <v>0.9167</v>
      </c>
      <c r="F57" s="532">
        <v>0.8462</v>
      </c>
      <c r="G57" s="533">
        <v>0.7857</v>
      </c>
      <c r="H57" s="533">
        <v>0.7333</v>
      </c>
      <c r="I57" s="533">
        <v>0.6875</v>
      </c>
      <c r="J57" s="533">
        <v>0.6471</v>
      </c>
      <c r="K57" s="533">
        <v>0.6111</v>
      </c>
      <c r="L57" s="533">
        <v>0.5789</v>
      </c>
      <c r="M57" s="533">
        <v>0.55</v>
      </c>
      <c r="N57" s="533">
        <v>0.5238</v>
      </c>
      <c r="O57" s="533">
        <v>0.5</v>
      </c>
      <c r="P57" s="533">
        <v>0.4783</v>
      </c>
      <c r="Q57" s="533">
        <v>0.4583</v>
      </c>
      <c r="R57" s="533">
        <v>0.44</v>
      </c>
      <c r="S57" s="533">
        <v>0.4231</v>
      </c>
      <c r="T57" s="533">
        <v>0.4074</v>
      </c>
      <c r="U57" s="533">
        <v>0.3929</v>
      </c>
      <c r="V57" s="534">
        <v>0.3793</v>
      </c>
      <c r="W57" s="523" t="s"/>
      <c r="X57" s="523" t="s"/>
      <c r="Y57" s="523" t="s"/>
      <c r="Z57" s="524" t="s"/>
      <c r="AA57" s="524" t="s"/>
      <c r="AB57" s="524" t="s"/>
      <c r="AC57" s="524" t="s"/>
      <c r="AD57" s="524" t="s"/>
      <c r="AE57" s="524" t="s"/>
      <c r="AF57" s="524" t="s"/>
      <c r="AG57" s="524" t="s"/>
      <c r="AH57" s="524" t="s"/>
      <c r="AI57" s="524" t="s"/>
      <c r="AJ57" s="524" t="s"/>
      <c r="AK57" s="524" t="s"/>
      <c r="AL57" s="524" t="s"/>
      <c r="AM57" s="524" t="s"/>
      <c r="AN57" s="524" t="s"/>
      <c r="AO57" s="524" t="s"/>
      <c r="AP57" s="524" t="s"/>
      <c r="AQ57" s="524" t="s"/>
      <c r="AR57" s="524" t="s"/>
      <c r="AS57" s="524" t="s"/>
      <c r="AT57" s="524" t="s"/>
    </row>
    <row r="58" spans="1:46" ht="18" customHeight="1">
      <c r="A58" s="45" t="s"/>
      <c r="B58" s="535" t="s"/>
      <c r="C58" s="525" t="s">
        <v>394</v>
      </c>
      <c r="D58" s="526">
        <v>1</v>
      </c>
      <c r="E58" s="526">
        <v>1.1</v>
      </c>
      <c r="F58" s="526">
        <v>1.2</v>
      </c>
      <c r="G58" s="536">
        <v>1.3</v>
      </c>
      <c r="H58" s="536">
        <v>1.4</v>
      </c>
      <c r="I58" s="536">
        <v>1.5</v>
      </c>
      <c r="J58" s="536">
        <v>1.6</v>
      </c>
      <c r="K58" s="536">
        <v>1.7</v>
      </c>
      <c r="L58" s="536">
        <v>1.8</v>
      </c>
      <c r="M58" s="536">
        <v>1.9</v>
      </c>
      <c r="N58" s="536">
        <v>2</v>
      </c>
      <c r="O58" s="536">
        <v>2.1</v>
      </c>
      <c r="P58" s="536">
        <v>2.2</v>
      </c>
      <c r="Q58" s="536">
        <v>2.3</v>
      </c>
      <c r="R58" s="536">
        <v>2.4</v>
      </c>
      <c r="S58" s="536">
        <v>2.5</v>
      </c>
      <c r="T58" s="536">
        <v>2.6</v>
      </c>
      <c r="U58" s="536">
        <v>2.7</v>
      </c>
      <c r="V58" s="537">
        <v>2.8</v>
      </c>
      <c r="W58" s="523" t="s"/>
      <c r="X58" s="523" t="s"/>
      <c r="Y58" s="523" t="s"/>
      <c r="Z58" s="524" t="s"/>
      <c r="AA58" s="524" t="s"/>
      <c r="AB58" s="524" t="s"/>
      <c r="AC58" s="524" t="s"/>
      <c r="AD58" s="524" t="s"/>
      <c r="AE58" s="524" t="s"/>
      <c r="AF58" s="524" t="s"/>
      <c r="AG58" s="524" t="s"/>
      <c r="AH58" s="524" t="s"/>
      <c r="AI58" s="524" t="s"/>
      <c r="AJ58" s="524" t="s"/>
      <c r="AK58" s="524" t="s"/>
      <c r="AL58" s="524" t="s"/>
      <c r="AM58" s="524" t="s"/>
      <c r="AN58" s="524" t="s"/>
      <c r="AO58" s="524" t="s"/>
      <c r="AP58" s="524" t="s"/>
      <c r="AQ58" s="524" t="s"/>
      <c r="AR58" s="524" t="s"/>
      <c r="AS58" s="524" t="s"/>
      <c r="AT58" s="524" t="s"/>
    </row>
    <row r="59" spans="1:46" ht="18" customHeight="1">
      <c r="A59" s="45" t="s"/>
      <c r="B59" s="535" t="s"/>
      <c r="C59" s="525" t="s">
        <v>395</v>
      </c>
      <c r="D59" s="525">
        <v>11</v>
      </c>
      <c r="E59" s="525">
        <v>12</v>
      </c>
      <c r="F59" s="525">
        <v>13</v>
      </c>
      <c r="G59" s="529">
        <v>14</v>
      </c>
      <c r="H59" s="529">
        <v>15</v>
      </c>
      <c r="I59" s="529">
        <v>16</v>
      </c>
      <c r="J59" s="529">
        <v>17</v>
      </c>
      <c r="K59" s="529">
        <v>18</v>
      </c>
      <c r="L59" s="529">
        <v>19</v>
      </c>
      <c r="M59" s="529">
        <v>20</v>
      </c>
      <c r="N59" s="529">
        <v>21</v>
      </c>
      <c r="O59" s="529">
        <v>22</v>
      </c>
      <c r="P59" s="529">
        <v>23</v>
      </c>
      <c r="Q59" s="529">
        <v>24</v>
      </c>
      <c r="R59" s="529">
        <v>25</v>
      </c>
      <c r="S59" s="529">
        <v>26</v>
      </c>
      <c r="T59" s="529">
        <v>27</v>
      </c>
      <c r="U59" s="529">
        <v>28</v>
      </c>
      <c r="V59" s="530">
        <v>29</v>
      </c>
      <c r="W59" s="523" t="s"/>
      <c r="X59" s="523" t="s"/>
      <c r="Y59" s="523" t="s"/>
      <c r="Z59" s="524" t="s"/>
      <c r="AA59" s="524" t="s"/>
      <c r="AB59" s="524" t="s"/>
      <c r="AC59" s="524" t="s"/>
      <c r="AD59" s="524" t="s"/>
      <c r="AE59" s="524" t="s"/>
      <c r="AF59" s="524" t="s"/>
      <c r="AG59" s="524" t="s"/>
      <c r="AH59" s="524" t="s"/>
      <c r="AI59" s="524" t="s"/>
      <c r="AJ59" s="524" t="s"/>
      <c r="AK59" s="524" t="s"/>
      <c r="AL59" s="524" t="s"/>
      <c r="AM59" s="524" t="s"/>
      <c r="AN59" s="524" t="s"/>
      <c r="AO59" s="524" t="s"/>
      <c r="AP59" s="524" t="s"/>
      <c r="AQ59" s="524" t="s"/>
      <c r="AR59" s="524" t="s"/>
      <c r="AS59" s="524" t="s"/>
      <c r="AT59" s="524" t="s"/>
    </row>
    <row r="60" spans="1:46" ht="18" customHeight="1">
      <c r="A60" s="45" t="s"/>
      <c r="B60" s="531" t="s">
        <v>414</v>
      </c>
      <c r="C60" s="525" t="s">
        <v>393</v>
      </c>
      <c r="D60" s="532">
        <v>1</v>
      </c>
      <c r="E60" s="532">
        <v>0.9375</v>
      </c>
      <c r="F60" s="532">
        <v>0.8824</v>
      </c>
      <c r="G60" s="533">
        <v>0.8333</v>
      </c>
      <c r="H60" s="533">
        <v>0.7895</v>
      </c>
      <c r="I60" s="533">
        <v>0.75</v>
      </c>
      <c r="J60" s="533">
        <v>0.7143</v>
      </c>
      <c r="K60" s="533">
        <v>0.6818</v>
      </c>
      <c r="L60" s="533">
        <v>0.6522</v>
      </c>
      <c r="M60" s="533">
        <v>0.625</v>
      </c>
      <c r="N60" s="533">
        <v>0.6</v>
      </c>
      <c r="O60" s="533">
        <v>0.5769</v>
      </c>
      <c r="P60" s="533">
        <v>0.5556</v>
      </c>
      <c r="Q60" s="533">
        <v>0.5357</v>
      </c>
      <c r="R60" s="533">
        <v>0.5172</v>
      </c>
      <c r="S60" s="533">
        <v>0.5</v>
      </c>
      <c r="T60" s="533">
        <v>0.4839</v>
      </c>
      <c r="U60" s="538" t="s"/>
      <c r="V60" s="523" t="s"/>
      <c r="W60" s="523" t="s"/>
      <c r="X60" s="523" t="s"/>
      <c r="Y60" s="523" t="s"/>
      <c r="Z60" s="524" t="s"/>
      <c r="AA60" s="524" t="s"/>
      <c r="AB60" s="524" t="s"/>
      <c r="AC60" s="524" t="s"/>
      <c r="AD60" s="524" t="s"/>
      <c r="AE60" s="524" t="s"/>
      <c r="AF60" s="524" t="s"/>
      <c r="AG60" s="524" t="s"/>
      <c r="AH60" s="524" t="s"/>
      <c r="AI60" s="524" t="s"/>
      <c r="AJ60" s="524" t="s"/>
      <c r="AK60" s="524" t="s"/>
      <c r="AL60" s="524" t="s"/>
      <c r="AM60" s="524" t="s"/>
      <c r="AN60" s="524" t="s"/>
      <c r="AO60" s="524" t="s"/>
      <c r="AP60" s="524" t="s"/>
      <c r="AQ60" s="524" t="s"/>
      <c r="AR60" s="524" t="s"/>
      <c r="AS60" s="524" t="s"/>
      <c r="AT60" s="524" t="s"/>
    </row>
    <row r="61" spans="1:46" ht="18" customHeight="1">
      <c r="A61" s="45" t="s"/>
      <c r="B61" s="535" t="s"/>
      <c r="C61" s="525" t="s">
        <v>394</v>
      </c>
      <c r="D61" s="526">
        <v>1.04</v>
      </c>
      <c r="E61" s="526">
        <v>1.11</v>
      </c>
      <c r="F61" s="526">
        <v>1.19</v>
      </c>
      <c r="G61" s="536">
        <v>1.26</v>
      </c>
      <c r="H61" s="536">
        <v>1.34</v>
      </c>
      <c r="I61" s="536">
        <v>1.41</v>
      </c>
      <c r="J61" s="536">
        <v>1.49</v>
      </c>
      <c r="K61" s="536">
        <v>1.56</v>
      </c>
      <c r="L61" s="536">
        <v>1.63</v>
      </c>
      <c r="M61" s="536">
        <v>1.71</v>
      </c>
      <c r="N61" s="536">
        <v>1.78</v>
      </c>
      <c r="O61" s="536">
        <v>1.86</v>
      </c>
      <c r="P61" s="536">
        <v>1.93</v>
      </c>
      <c r="Q61" s="536">
        <v>2.01</v>
      </c>
      <c r="R61" s="536">
        <v>2.08</v>
      </c>
      <c r="S61" s="536">
        <v>2.15</v>
      </c>
      <c r="T61" s="536">
        <v>2.23</v>
      </c>
      <c r="U61" s="538" t="s"/>
      <c r="V61" s="523" t="s"/>
      <c r="W61" s="523" t="s"/>
      <c r="X61" s="523" t="s"/>
      <c r="Y61" s="523" t="s"/>
      <c r="Z61" s="524" t="s"/>
      <c r="AA61" s="524" t="s"/>
      <c r="AB61" s="524" t="s"/>
      <c r="AC61" s="524" t="s"/>
      <c r="AD61" s="524" t="s"/>
      <c r="AE61" s="524" t="s"/>
      <c r="AF61" s="524" t="s"/>
      <c r="AG61" s="524" t="s"/>
      <c r="AH61" s="524" t="s"/>
      <c r="AI61" s="524" t="s"/>
      <c r="AJ61" s="524" t="s"/>
      <c r="AK61" s="524" t="s"/>
      <c r="AL61" s="524" t="s"/>
      <c r="AM61" s="524" t="s"/>
      <c r="AN61" s="524" t="s"/>
      <c r="AO61" s="524" t="s"/>
      <c r="AP61" s="524" t="s"/>
      <c r="AQ61" s="524" t="s"/>
      <c r="AR61" s="524" t="s"/>
      <c r="AS61" s="524" t="s"/>
      <c r="AT61" s="524" t="s"/>
    </row>
    <row r="62" spans="1:46" ht="18" customHeight="1">
      <c r="A62" s="45" t="s"/>
      <c r="B62" s="535" t="s"/>
      <c r="C62" s="525" t="s">
        <v>395</v>
      </c>
      <c r="D62" s="525">
        <v>15</v>
      </c>
      <c r="E62" s="525">
        <v>16</v>
      </c>
      <c r="F62" s="525">
        <v>17</v>
      </c>
      <c r="G62" s="529">
        <v>18</v>
      </c>
      <c r="H62" s="529">
        <v>19</v>
      </c>
      <c r="I62" s="529">
        <v>20</v>
      </c>
      <c r="J62" s="529">
        <v>21</v>
      </c>
      <c r="K62" s="529">
        <v>22</v>
      </c>
      <c r="L62" s="529">
        <v>23</v>
      </c>
      <c r="M62" s="529">
        <v>24</v>
      </c>
      <c r="N62" s="529">
        <v>25</v>
      </c>
      <c r="O62" s="529">
        <v>26</v>
      </c>
      <c r="P62" s="529">
        <v>27</v>
      </c>
      <c r="Q62" s="529">
        <v>28</v>
      </c>
      <c r="R62" s="529">
        <v>29</v>
      </c>
      <c r="S62" s="529">
        <v>30</v>
      </c>
      <c r="T62" s="529">
        <v>31</v>
      </c>
      <c r="U62" s="538" t="s"/>
      <c r="V62" s="523" t="s"/>
      <c r="W62" s="523" t="s"/>
      <c r="X62" s="523" t="s"/>
      <c r="Y62" s="523" t="s"/>
      <c r="Z62" s="524" t="s"/>
      <c r="AA62" s="524" t="s"/>
      <c r="AB62" s="524" t="s"/>
      <c r="AC62" s="524" t="s"/>
      <c r="AD62" s="524" t="s"/>
      <c r="AE62" s="524" t="s"/>
      <c r="AF62" s="524" t="s"/>
      <c r="AG62" s="524" t="s"/>
      <c r="AH62" s="524" t="s"/>
      <c r="AI62" s="524" t="s"/>
      <c r="AJ62" s="524" t="s"/>
      <c r="AK62" s="524" t="s"/>
      <c r="AL62" s="524" t="s"/>
      <c r="AM62" s="524" t="s"/>
      <c r="AN62" s="524" t="s"/>
      <c r="AO62" s="524" t="s"/>
      <c r="AP62" s="524" t="s"/>
      <c r="AQ62" s="524" t="s"/>
      <c r="AR62" s="524" t="s"/>
      <c r="AS62" s="524" t="s"/>
      <c r="AT62" s="524" t="s"/>
    </row>
    <row r="63" spans="1:46" ht="18" customHeight="1">
      <c r="A63" s="45" t="s"/>
      <c r="B63" s="531" t="s">
        <v>415</v>
      </c>
      <c r="C63" s="525" t="s">
        <v>393</v>
      </c>
      <c r="D63" s="539">
        <v>1</v>
      </c>
      <c r="E63" s="539">
        <v>0.9231</v>
      </c>
      <c r="F63" s="539">
        <v>0.8571</v>
      </c>
      <c r="G63" s="534">
        <v>0.8</v>
      </c>
      <c r="H63" s="534">
        <v>0.75</v>
      </c>
      <c r="I63" s="534">
        <v>0.7059</v>
      </c>
      <c r="J63" s="534">
        <v>0.6667</v>
      </c>
      <c r="K63" s="534">
        <v>0.6316</v>
      </c>
      <c r="L63" s="534">
        <v>0.6</v>
      </c>
      <c r="M63" s="534">
        <v>0.5714</v>
      </c>
      <c r="N63" s="534">
        <v>0.5455</v>
      </c>
      <c r="O63" s="534">
        <v>0.5217</v>
      </c>
      <c r="P63" s="534">
        <v>0.5</v>
      </c>
      <c r="Q63" s="534">
        <v>0.48</v>
      </c>
      <c r="R63" s="534">
        <v>0.4615</v>
      </c>
      <c r="S63" s="534">
        <v>0.4444</v>
      </c>
      <c r="T63" s="534">
        <v>0.4286</v>
      </c>
      <c r="U63" s="522">
        <v>0.4138</v>
      </c>
      <c r="V63" s="522">
        <v>0.4</v>
      </c>
      <c r="W63" s="522">
        <v>0.3871</v>
      </c>
      <c r="X63" s="522">
        <v>0.375</v>
      </c>
      <c r="Y63" s="523" t="s"/>
      <c r="Z63" s="524" t="s"/>
      <c r="AA63" s="524" t="s"/>
      <c r="AB63" s="524" t="s"/>
      <c r="AC63" s="524" t="s"/>
      <c r="AD63" s="524" t="s"/>
      <c r="AE63" s="524" t="s"/>
      <c r="AF63" s="524" t="s"/>
      <c r="AG63" s="524" t="s"/>
      <c r="AH63" s="524" t="s"/>
      <c r="AI63" s="524" t="s"/>
      <c r="AJ63" s="524" t="s"/>
      <c r="AK63" s="524" t="s"/>
      <c r="AL63" s="524" t="s"/>
      <c r="AM63" s="524" t="s"/>
      <c r="AN63" s="524" t="s"/>
      <c r="AO63" s="524" t="s"/>
      <c r="AP63" s="524" t="s"/>
      <c r="AQ63" s="524" t="s"/>
      <c r="AR63" s="524" t="s"/>
      <c r="AS63" s="524" t="s"/>
      <c r="AT63" s="524" t="s"/>
    </row>
    <row r="64" spans="1:46" ht="18" customHeight="1">
      <c r="A64" s="45" t="s"/>
      <c r="B64" s="535" t="s"/>
      <c r="C64" s="525" t="s">
        <v>394</v>
      </c>
      <c r="D64" s="540">
        <v>1.08</v>
      </c>
      <c r="E64" s="540">
        <v>1.33</v>
      </c>
      <c r="F64" s="540">
        <v>1.39</v>
      </c>
      <c r="G64" s="541">
        <v>1.44</v>
      </c>
      <c r="H64" s="537">
        <v>1.5</v>
      </c>
      <c r="I64" s="537">
        <v>1.74</v>
      </c>
      <c r="J64" s="537">
        <v>1.8</v>
      </c>
      <c r="K64" s="537">
        <v>1.86</v>
      </c>
      <c r="L64" s="537">
        <v>1.91</v>
      </c>
      <c r="M64" s="537">
        <v>2.13</v>
      </c>
      <c r="N64" s="537">
        <v>2.18</v>
      </c>
      <c r="O64" s="537">
        <v>2.23</v>
      </c>
      <c r="P64" s="537">
        <v>2.29</v>
      </c>
      <c r="Q64" s="537">
        <v>2.48</v>
      </c>
      <c r="R64" s="537">
        <v>2.55</v>
      </c>
      <c r="S64" s="537">
        <v>2.6</v>
      </c>
      <c r="T64" s="537">
        <v>2.66</v>
      </c>
      <c r="U64" s="537">
        <v>2.83</v>
      </c>
      <c r="V64" s="537">
        <v>2.9</v>
      </c>
      <c r="W64" s="537">
        <v>2.95</v>
      </c>
      <c r="X64" s="537">
        <v>3</v>
      </c>
      <c r="Y64" s="523" t="s"/>
      <c r="Z64" s="524" t="s"/>
      <c r="AA64" s="524" t="s"/>
      <c r="AB64" s="524" t="s"/>
      <c r="AC64" s="524" t="s"/>
      <c r="AD64" s="524" t="s"/>
      <c r="AE64" s="524" t="s"/>
      <c r="AF64" s="524" t="s"/>
      <c r="AG64" s="524" t="s"/>
      <c r="AH64" s="524" t="s"/>
      <c r="AI64" s="524" t="s"/>
      <c r="AJ64" s="524" t="s"/>
      <c r="AK64" s="524" t="s"/>
      <c r="AL64" s="524" t="s"/>
      <c r="AM64" s="524" t="s"/>
      <c r="AN64" s="524" t="s"/>
      <c r="AO64" s="524" t="s"/>
      <c r="AP64" s="524" t="s"/>
      <c r="AQ64" s="524" t="s"/>
      <c r="AR64" s="524" t="s"/>
      <c r="AS64" s="524" t="s"/>
      <c r="AT64" s="524" t="s"/>
    </row>
    <row r="65" spans="1:46" ht="18" customHeight="1">
      <c r="A65" s="45" t="s"/>
      <c r="B65" s="535" t="s"/>
      <c r="C65" s="525" t="s">
        <v>395</v>
      </c>
      <c r="D65" s="542">
        <v>12</v>
      </c>
      <c r="E65" s="542">
        <v>13</v>
      </c>
      <c r="F65" s="542">
        <v>14</v>
      </c>
      <c r="G65" s="530">
        <v>15</v>
      </c>
      <c r="H65" s="530">
        <v>16</v>
      </c>
      <c r="I65" s="530">
        <v>17</v>
      </c>
      <c r="J65" s="530">
        <v>18</v>
      </c>
      <c r="K65" s="530">
        <v>19</v>
      </c>
      <c r="L65" s="530">
        <v>20</v>
      </c>
      <c r="M65" s="530">
        <v>21</v>
      </c>
      <c r="N65" s="530">
        <v>22</v>
      </c>
      <c r="O65" s="530">
        <v>23</v>
      </c>
      <c r="P65" s="530">
        <v>24</v>
      </c>
      <c r="Q65" s="530">
        <v>25</v>
      </c>
      <c r="R65" s="530">
        <v>26</v>
      </c>
      <c r="S65" s="530">
        <v>27</v>
      </c>
      <c r="T65" s="530">
        <v>28</v>
      </c>
      <c r="U65" s="530">
        <v>29</v>
      </c>
      <c r="V65" s="530">
        <v>30</v>
      </c>
      <c r="W65" s="530">
        <v>31</v>
      </c>
      <c r="X65" s="530">
        <v>32</v>
      </c>
      <c r="Y65" s="523" t="s"/>
      <c r="Z65" s="524" t="s"/>
      <c r="AA65" s="524" t="s"/>
      <c r="AB65" s="524" t="s"/>
      <c r="AC65" s="524" t="s"/>
      <c r="AD65" s="524" t="s"/>
      <c r="AE65" s="524" t="s"/>
      <c r="AF65" s="524" t="s"/>
      <c r="AG65" s="524" t="s"/>
      <c r="AH65" s="524" t="s"/>
      <c r="AI65" s="524" t="s"/>
      <c r="AJ65" s="524" t="s"/>
      <c r="AK65" s="524" t="s"/>
      <c r="AL65" s="524" t="s"/>
      <c r="AM65" s="524" t="s"/>
      <c r="AN65" s="524" t="s"/>
      <c r="AO65" s="524" t="s"/>
      <c r="AP65" s="524" t="s"/>
      <c r="AQ65" s="524" t="s"/>
      <c r="AR65" s="524" t="s"/>
      <c r="AS65" s="524" t="s"/>
      <c r="AT65" s="524" t="s"/>
    </row>
    <row r="66" spans="1:46" ht="18" customHeight="1">
      <c r="A66" s="45" t="s"/>
      <c r="B66" s="531" t="s">
        <v>416</v>
      </c>
      <c r="C66" s="525" t="s">
        <v>393</v>
      </c>
      <c r="D66" s="539">
        <v>1</v>
      </c>
      <c r="E66" s="539">
        <v>0.9231</v>
      </c>
      <c r="F66" s="539">
        <v>0.8571</v>
      </c>
      <c r="G66" s="534">
        <v>0.8</v>
      </c>
      <c r="H66" s="534">
        <v>0.75</v>
      </c>
      <c r="I66" s="534">
        <v>0.7059</v>
      </c>
      <c r="J66" s="534">
        <v>0.6667</v>
      </c>
      <c r="K66" s="534">
        <v>0.6316</v>
      </c>
      <c r="L66" s="534">
        <v>0.6</v>
      </c>
      <c r="M66" s="534">
        <v>0.5714</v>
      </c>
      <c r="N66" s="534">
        <v>0.5455</v>
      </c>
      <c r="O66" s="534">
        <v>0.5217</v>
      </c>
      <c r="P66" s="534">
        <v>0.5</v>
      </c>
      <c r="Q66" s="534">
        <v>0.48</v>
      </c>
      <c r="R66" s="534">
        <v>0.4615</v>
      </c>
      <c r="S66" s="534">
        <v>0.4444</v>
      </c>
      <c r="T66" s="534">
        <v>0.4286</v>
      </c>
      <c r="U66" s="534">
        <v>0.4138</v>
      </c>
      <c r="V66" s="534">
        <v>0.4</v>
      </c>
      <c r="W66" s="543">
        <v>0.3871</v>
      </c>
      <c r="X66" s="544">
        <v>0.375</v>
      </c>
      <c r="Y66" s="523" t="s"/>
      <c r="Z66" s="524" t="s"/>
      <c r="AA66" s="524" t="s"/>
      <c r="AB66" s="524" t="s"/>
      <c r="AC66" s="524" t="s"/>
      <c r="AD66" s="524" t="s"/>
      <c r="AE66" s="524" t="s"/>
      <c r="AF66" s="524" t="s"/>
      <c r="AG66" s="524" t="s"/>
      <c r="AH66" s="524" t="s"/>
      <c r="AI66" s="524" t="s"/>
      <c r="AJ66" s="524" t="s"/>
      <c r="AK66" s="524" t="s"/>
      <c r="AL66" s="524" t="s"/>
      <c r="AM66" s="524" t="s"/>
      <c r="AN66" s="524" t="s"/>
      <c r="AO66" s="524" t="s"/>
      <c r="AP66" s="524" t="s"/>
      <c r="AQ66" s="524" t="s"/>
      <c r="AR66" s="524" t="s"/>
      <c r="AS66" s="524" t="s"/>
      <c r="AT66" s="524" t="s"/>
    </row>
    <row r="67" spans="1:46" ht="18" customHeight="1">
      <c r="A67" s="45" t="s"/>
      <c r="B67" s="535" t="s"/>
      <c r="C67" s="525" t="s">
        <v>394</v>
      </c>
      <c r="D67" s="542">
        <v>0.87</v>
      </c>
      <c r="E67" s="542">
        <v>1.05</v>
      </c>
      <c r="F67" s="542">
        <v>1.12</v>
      </c>
      <c r="G67" s="545">
        <v>1.16</v>
      </c>
      <c r="H67" s="530">
        <v>1.22</v>
      </c>
      <c r="I67" s="530">
        <v>1.4</v>
      </c>
      <c r="J67" s="530">
        <v>1.46</v>
      </c>
      <c r="K67" s="530">
        <v>1.52</v>
      </c>
      <c r="L67" s="530">
        <v>1.57</v>
      </c>
      <c r="M67" s="530">
        <v>1.75</v>
      </c>
      <c r="N67" s="530">
        <v>1.81</v>
      </c>
      <c r="O67" s="530">
        <v>1.86</v>
      </c>
      <c r="P67" s="530">
        <v>1.92</v>
      </c>
      <c r="Q67" s="530">
        <v>2.1</v>
      </c>
      <c r="R67" s="530">
        <v>2.16</v>
      </c>
      <c r="S67" s="530">
        <v>2.21</v>
      </c>
      <c r="T67" s="530">
        <v>2.27</v>
      </c>
      <c r="U67" s="530">
        <v>2.45</v>
      </c>
      <c r="V67" s="530">
        <v>2.51</v>
      </c>
      <c r="W67" s="546">
        <v>2.56</v>
      </c>
      <c r="X67" s="547">
        <v>2.62</v>
      </c>
      <c r="Y67" s="523" t="s"/>
      <c r="Z67" s="524" t="s"/>
      <c r="AA67" s="524" t="s"/>
      <c r="AB67" s="524" t="s"/>
      <c r="AC67" s="524" t="s"/>
      <c r="AD67" s="524" t="s"/>
      <c r="AE67" s="524" t="s"/>
      <c r="AF67" s="524" t="s"/>
      <c r="AG67" s="524" t="s"/>
      <c r="AH67" s="524" t="s"/>
      <c r="AI67" s="524" t="s"/>
      <c r="AJ67" s="524" t="s"/>
      <c r="AK67" s="524" t="s"/>
      <c r="AL67" s="524" t="s"/>
      <c r="AM67" s="524" t="s"/>
      <c r="AN67" s="524" t="s"/>
      <c r="AO67" s="524" t="s"/>
      <c r="AP67" s="524" t="s"/>
      <c r="AQ67" s="524" t="s"/>
      <c r="AR67" s="524" t="s"/>
      <c r="AS67" s="524" t="s"/>
      <c r="AT67" s="524" t="s"/>
    </row>
    <row r="68" spans="1:46" ht="18" customHeight="1">
      <c r="A68" s="45" t="s"/>
      <c r="B68" s="535" t="s"/>
      <c r="C68" s="525" t="s">
        <v>395</v>
      </c>
      <c r="D68" s="542">
        <v>12</v>
      </c>
      <c r="E68" s="542">
        <v>13</v>
      </c>
      <c r="F68" s="542">
        <v>14</v>
      </c>
      <c r="G68" s="530">
        <v>15</v>
      </c>
      <c r="H68" s="530">
        <v>16</v>
      </c>
      <c r="I68" s="530">
        <v>17</v>
      </c>
      <c r="J68" s="530">
        <v>18</v>
      </c>
      <c r="K68" s="530">
        <v>19</v>
      </c>
      <c r="L68" s="530">
        <v>20</v>
      </c>
      <c r="M68" s="530">
        <v>21</v>
      </c>
      <c r="N68" s="530">
        <v>22</v>
      </c>
      <c r="O68" s="530">
        <v>23</v>
      </c>
      <c r="P68" s="530">
        <v>24</v>
      </c>
      <c r="Q68" s="530">
        <v>25</v>
      </c>
      <c r="R68" s="530">
        <v>26</v>
      </c>
      <c r="S68" s="530">
        <v>27</v>
      </c>
      <c r="T68" s="530">
        <v>28</v>
      </c>
      <c r="U68" s="530">
        <v>29</v>
      </c>
      <c r="V68" s="530">
        <v>30</v>
      </c>
      <c r="W68" s="548">
        <v>31</v>
      </c>
      <c r="X68" s="547">
        <v>32</v>
      </c>
      <c r="Y68" s="523" t="s"/>
      <c r="Z68" s="524" t="s"/>
      <c r="AA68" s="524" t="s"/>
      <c r="AB68" s="524" t="s"/>
      <c r="AC68" s="524" t="s"/>
      <c r="AD68" s="524" t="s"/>
      <c r="AE68" s="524" t="s"/>
      <c r="AF68" s="524" t="s"/>
      <c r="AG68" s="524" t="s"/>
      <c r="AH68" s="524" t="s"/>
      <c r="AI68" s="524" t="s"/>
      <c r="AJ68" s="524" t="s"/>
      <c r="AK68" s="524" t="s"/>
      <c r="AL68" s="524" t="s"/>
      <c r="AM68" s="524" t="s"/>
      <c r="AN68" s="524" t="s"/>
      <c r="AO68" s="524" t="s"/>
      <c r="AP68" s="524" t="s"/>
      <c r="AQ68" s="524" t="s"/>
      <c r="AR68" s="524" t="s"/>
      <c r="AS68" s="524" t="s"/>
      <c r="AT68" s="524" t="s"/>
    </row>
    <row r="69" spans="1:46" ht="18" customHeight="1">
      <c r="A69" s="45" t="s"/>
      <c r="B69" s="531" t="s">
        <v>417</v>
      </c>
      <c r="C69" s="525" t="s">
        <v>393</v>
      </c>
      <c r="D69" s="539">
        <v>1</v>
      </c>
      <c r="E69" s="539">
        <v>0.9091</v>
      </c>
      <c r="F69" s="539">
        <v>0.8333</v>
      </c>
      <c r="G69" s="534">
        <v>0.7692</v>
      </c>
      <c r="H69" s="534">
        <v>0.7143</v>
      </c>
      <c r="I69" s="534">
        <v>0.6667</v>
      </c>
      <c r="J69" s="534">
        <v>0.625</v>
      </c>
      <c r="K69" s="534">
        <v>0.5882</v>
      </c>
      <c r="L69" s="534">
        <v>0.5556</v>
      </c>
      <c r="M69" s="534">
        <v>0.5263</v>
      </c>
      <c r="N69" s="534">
        <v>0.5</v>
      </c>
      <c r="O69" s="534">
        <v>0.4762</v>
      </c>
      <c r="P69" s="534">
        <v>0.4545</v>
      </c>
      <c r="Q69" s="534">
        <v>0.4348</v>
      </c>
      <c r="R69" s="534">
        <v>0.4167</v>
      </c>
      <c r="S69" s="534">
        <v>0.4</v>
      </c>
      <c r="T69" s="534">
        <v>0.3846</v>
      </c>
      <c r="U69" s="534">
        <v>0.3704</v>
      </c>
      <c r="V69" s="534">
        <v>0.3571</v>
      </c>
      <c r="W69" s="534">
        <v>0.3448</v>
      </c>
      <c r="X69" s="534">
        <v>0.3333</v>
      </c>
      <c r="Y69" s="523" t="s"/>
      <c r="Z69" s="524" t="s"/>
      <c r="AA69" s="524" t="s"/>
      <c r="AB69" s="524" t="s"/>
      <c r="AC69" s="524" t="s"/>
      <c r="AD69" s="524" t="s"/>
      <c r="AE69" s="524" t="s"/>
      <c r="AF69" s="524" t="s"/>
      <c r="AG69" s="524" t="s"/>
      <c r="AH69" s="524" t="s"/>
      <c r="AI69" s="524" t="s"/>
      <c r="AJ69" s="524" t="s"/>
      <c r="AK69" s="524" t="s"/>
      <c r="AL69" s="524" t="s"/>
      <c r="AM69" s="524" t="s"/>
      <c r="AN69" s="524" t="s"/>
      <c r="AO69" s="524" t="s"/>
      <c r="AP69" s="524" t="s"/>
      <c r="AQ69" s="524" t="s"/>
      <c r="AR69" s="524" t="s"/>
      <c r="AS69" s="524" t="s"/>
      <c r="AT69" s="524" t="s"/>
    </row>
    <row r="70" spans="1:46" ht="18" customHeight="1">
      <c r="A70" s="45" t="s"/>
      <c r="B70" s="535" t="s"/>
      <c r="C70" s="525" t="s">
        <v>394</v>
      </c>
      <c r="D70" s="540">
        <v>1.14</v>
      </c>
      <c r="E70" s="540">
        <v>1.22</v>
      </c>
      <c r="F70" s="540">
        <v>1.28</v>
      </c>
      <c r="G70" s="537">
        <v>1.53</v>
      </c>
      <c r="H70" s="537">
        <v>1.59</v>
      </c>
      <c r="I70" s="537">
        <v>1.66</v>
      </c>
      <c r="J70" s="537">
        <v>1.92</v>
      </c>
      <c r="K70" s="537">
        <v>1.98</v>
      </c>
      <c r="L70" s="537">
        <v>2.04</v>
      </c>
      <c r="M70" s="537">
        <v>2.3</v>
      </c>
      <c r="N70" s="537">
        <v>2.37</v>
      </c>
      <c r="O70" s="537">
        <v>2.43</v>
      </c>
      <c r="P70" s="537">
        <v>2.68</v>
      </c>
      <c r="Q70" s="537">
        <v>2.74</v>
      </c>
      <c r="R70" s="537">
        <v>2.81</v>
      </c>
      <c r="S70" s="537">
        <v>3.06</v>
      </c>
      <c r="T70" s="537">
        <v>3.13</v>
      </c>
      <c r="U70" s="537">
        <v>3.19</v>
      </c>
      <c r="V70" s="537">
        <v>3.45</v>
      </c>
      <c r="W70" s="537">
        <v>3.51</v>
      </c>
      <c r="X70" s="537">
        <v>3.58</v>
      </c>
      <c r="Y70" s="523" t="s"/>
      <c r="Z70" s="524" t="s"/>
      <c r="AA70" s="524" t="s"/>
      <c r="AB70" s="524" t="s"/>
      <c r="AC70" s="524" t="s"/>
      <c r="AD70" s="524" t="s"/>
      <c r="AE70" s="524" t="s"/>
      <c r="AF70" s="524" t="s"/>
      <c r="AG70" s="524" t="s"/>
      <c r="AH70" s="524" t="s"/>
      <c r="AI70" s="524" t="s"/>
      <c r="AJ70" s="524" t="s"/>
      <c r="AK70" s="524" t="s"/>
      <c r="AL70" s="524" t="s"/>
      <c r="AM70" s="524" t="s"/>
      <c r="AN70" s="524" t="s"/>
      <c r="AO70" s="524" t="s"/>
      <c r="AP70" s="524" t="s"/>
      <c r="AQ70" s="524" t="s"/>
      <c r="AR70" s="524" t="s"/>
      <c r="AS70" s="524" t="s"/>
      <c r="AT70" s="524" t="s"/>
    </row>
    <row r="71" spans="1:46" ht="18" customHeight="1">
      <c r="A71" s="45" t="s"/>
      <c r="B71" s="535" t="s"/>
      <c r="C71" s="525" t="s">
        <v>395</v>
      </c>
      <c r="D71" s="542">
        <v>10</v>
      </c>
      <c r="E71" s="542">
        <v>11</v>
      </c>
      <c r="F71" s="542">
        <v>12</v>
      </c>
      <c r="G71" s="530">
        <v>13</v>
      </c>
      <c r="H71" s="530">
        <v>14</v>
      </c>
      <c r="I71" s="530">
        <v>15</v>
      </c>
      <c r="J71" s="530">
        <v>16</v>
      </c>
      <c r="K71" s="530">
        <v>17</v>
      </c>
      <c r="L71" s="530">
        <v>18</v>
      </c>
      <c r="M71" s="530">
        <v>19</v>
      </c>
      <c r="N71" s="530">
        <v>20</v>
      </c>
      <c r="O71" s="530">
        <v>21</v>
      </c>
      <c r="P71" s="530">
        <v>22</v>
      </c>
      <c r="Q71" s="530">
        <v>23</v>
      </c>
      <c r="R71" s="530">
        <v>24</v>
      </c>
      <c r="S71" s="530">
        <v>25</v>
      </c>
      <c r="T71" s="530">
        <v>26</v>
      </c>
      <c r="U71" s="530">
        <v>27</v>
      </c>
      <c r="V71" s="530">
        <v>28</v>
      </c>
      <c r="W71" s="530">
        <v>29</v>
      </c>
      <c r="X71" s="530">
        <v>30</v>
      </c>
      <c r="Y71" s="523" t="s"/>
      <c r="Z71" s="524" t="s"/>
      <c r="AA71" s="524" t="s"/>
      <c r="AB71" s="524" t="s"/>
      <c r="AC71" s="524" t="s"/>
      <c r="AD71" s="524" t="s"/>
      <c r="AE71" s="524" t="s"/>
      <c r="AF71" s="524" t="s"/>
      <c r="AG71" s="524" t="s"/>
      <c r="AH71" s="524" t="s"/>
      <c r="AI71" s="524" t="s"/>
      <c r="AJ71" s="524" t="s"/>
      <c r="AK71" s="524" t="s"/>
      <c r="AL71" s="524" t="s"/>
      <c r="AM71" s="524" t="s"/>
      <c r="AN71" s="549" t="s"/>
      <c r="AO71" s="549" t="s"/>
      <c r="AP71" s="549" t="s"/>
      <c r="AQ71" s="549" t="s"/>
      <c r="AR71" s="524" t="s"/>
      <c r="AS71" s="524" t="s"/>
      <c r="AT71" s="524" t="s"/>
    </row>
    <row r="72" spans="1:46" ht="18" customHeight="1">
      <c r="A72" s="550" t="s">
        <v>319</v>
      </c>
      <c r="B72" s="518" t="s">
        <v>418</v>
      </c>
      <c r="C72" s="519" t="s">
        <v>393</v>
      </c>
      <c r="D72" s="551">
        <v>1</v>
      </c>
      <c r="E72" s="551">
        <v>0.9286</v>
      </c>
      <c r="F72" s="551">
        <v>0.8667</v>
      </c>
      <c r="G72" s="522">
        <v>0.8125</v>
      </c>
      <c r="H72" s="522">
        <v>0.7647</v>
      </c>
      <c r="I72" s="522">
        <v>0.7222</v>
      </c>
      <c r="J72" s="522">
        <v>0.6842</v>
      </c>
      <c r="K72" s="522">
        <v>0.65</v>
      </c>
      <c r="L72" s="522">
        <v>0.619</v>
      </c>
      <c r="M72" s="522">
        <v>0.5909</v>
      </c>
      <c r="N72" s="522">
        <v>0.5652</v>
      </c>
      <c r="O72" s="522">
        <v>0.5417</v>
      </c>
      <c r="P72" s="522">
        <v>0.52</v>
      </c>
      <c r="Q72" s="522">
        <v>0.5</v>
      </c>
      <c r="R72" s="522">
        <v>0.4815</v>
      </c>
      <c r="S72" s="522">
        <v>0.4643</v>
      </c>
      <c r="T72" s="522">
        <v>0.4483</v>
      </c>
      <c r="U72" s="522">
        <v>0.4333</v>
      </c>
      <c r="V72" s="522">
        <v>0.4194</v>
      </c>
      <c r="W72" s="522">
        <v>0.4063</v>
      </c>
      <c r="X72" s="522">
        <v>0.3939</v>
      </c>
      <c r="Y72" s="522">
        <v>0.3824</v>
      </c>
      <c r="Z72" s="552">
        <v>0.3714</v>
      </c>
      <c r="AA72" s="552">
        <f>13/AA74</f>
        <v>0.361111111111111</v>
      </c>
      <c r="AB72" s="552">
        <f>13/AB74</f>
        <v>0.351351351351351</v>
      </c>
      <c r="AC72" s="552">
        <f>13/AC74</f>
        <v>0.342105263157895</v>
      </c>
      <c r="AD72" s="552">
        <f>13/AD74</f>
        <v>0.333333333333333</v>
      </c>
      <c r="AE72" s="552">
        <f>13/AE74</f>
        <v>0.325</v>
      </c>
      <c r="AF72" s="552">
        <f>13/AF74</f>
        <v>0.317073170731707</v>
      </c>
      <c r="AG72" s="552">
        <f>13/AG74</f>
        <v>0.30952380952381</v>
      </c>
      <c r="AH72" s="552">
        <f>13/AH74</f>
        <v>0.302325581395349</v>
      </c>
      <c r="AI72" s="552">
        <f>13/AI74</f>
        <v>0.295454545454546</v>
      </c>
      <c r="AJ72" s="552">
        <f>13/AJ74</f>
        <v>0.288888888888889</v>
      </c>
      <c r="AK72" s="552">
        <f>13/AK74</f>
        <v>0.282608695652174</v>
      </c>
      <c r="AL72" s="552">
        <f>13/AL74</f>
        <v>0.276595744680851</v>
      </c>
      <c r="AM72" s="552">
        <f>13/AM74</f>
        <v>0.270833333333333</v>
      </c>
      <c r="AN72" s="549" t="s"/>
      <c r="AO72" s="549" t="s"/>
      <c r="AP72" s="549" t="s"/>
      <c r="AQ72" s="549" t="s"/>
      <c r="AR72" s="553" t="s"/>
      <c r="AS72" s="553" t="s"/>
      <c r="AT72" s="553" t="s"/>
    </row>
    <row r="73" spans="1:46" ht="18" customHeight="1">
      <c r="A73" s="104" t="s"/>
      <c r="B73" s="45" t="s"/>
      <c r="C73" s="525" t="s">
        <v>419</v>
      </c>
      <c r="D73" s="540">
        <v>1.33</v>
      </c>
      <c r="E73" s="540">
        <v>1.41</v>
      </c>
      <c r="F73" s="554">
        <v>1.48</v>
      </c>
      <c r="G73" s="537">
        <v>1.54</v>
      </c>
      <c r="H73" s="537">
        <v>1.61</v>
      </c>
      <c r="I73" s="537">
        <v>1.68</v>
      </c>
      <c r="J73" s="537">
        <v>1.74</v>
      </c>
      <c r="K73" s="537">
        <v>1.81</v>
      </c>
      <c r="L73" s="537">
        <v>1.88</v>
      </c>
      <c r="M73" s="537">
        <v>1.94</v>
      </c>
      <c r="N73" s="537">
        <v>2.01</v>
      </c>
      <c r="O73" s="537">
        <v>2.08</v>
      </c>
      <c r="P73" s="537">
        <v>2.14</v>
      </c>
      <c r="Q73" s="537">
        <v>2.21</v>
      </c>
      <c r="R73" s="537">
        <v>2.28</v>
      </c>
      <c r="S73" s="537">
        <v>2.34</v>
      </c>
      <c r="T73" s="537">
        <v>2.41</v>
      </c>
      <c r="U73" s="537">
        <v>2.48</v>
      </c>
      <c r="V73" s="537">
        <v>2.54</v>
      </c>
      <c r="W73" s="537">
        <v>2.61</v>
      </c>
      <c r="X73" s="537">
        <v>2.68</v>
      </c>
      <c r="Y73" s="537">
        <v>2.74</v>
      </c>
      <c r="Z73" s="555">
        <v>2.81</v>
      </c>
      <c r="AA73" s="556">
        <v>2.88</v>
      </c>
      <c r="AB73" s="556">
        <v>2.94</v>
      </c>
      <c r="AC73" s="556">
        <v>3.01</v>
      </c>
      <c r="AD73" s="556">
        <v>3.08</v>
      </c>
      <c r="AE73" s="556">
        <v>3.14</v>
      </c>
      <c r="AF73" s="556">
        <v>3.21</v>
      </c>
      <c r="AG73" s="556">
        <v>3.28</v>
      </c>
      <c r="AH73" s="556">
        <v>3.34</v>
      </c>
      <c r="AI73" s="556">
        <v>3.41</v>
      </c>
      <c r="AJ73" s="556">
        <v>3.48</v>
      </c>
      <c r="AK73" s="556">
        <v>3.54</v>
      </c>
      <c r="AL73" s="556">
        <v>3.61</v>
      </c>
      <c r="AM73" s="556">
        <v>3.68</v>
      </c>
      <c r="AN73" s="549" t="s"/>
      <c r="AO73" s="549" t="s"/>
      <c r="AP73" s="549" t="s"/>
      <c r="AQ73" s="549" t="s"/>
      <c r="AR73" s="557" t="s"/>
      <c r="AS73" s="557" t="s"/>
      <c r="AT73" s="557" t="s"/>
    </row>
    <row r="74" spans="1:46" ht="18" customHeight="1">
      <c r="A74" s="104" t="s"/>
      <c r="B74" s="45" t="s"/>
      <c r="C74" s="525" t="s">
        <v>395</v>
      </c>
      <c r="D74" s="542">
        <v>13</v>
      </c>
      <c r="E74" s="542">
        <v>14</v>
      </c>
      <c r="F74" s="542">
        <v>15</v>
      </c>
      <c r="G74" s="530">
        <v>16</v>
      </c>
      <c r="H74" s="530">
        <v>17</v>
      </c>
      <c r="I74" s="530">
        <v>18</v>
      </c>
      <c r="J74" s="530">
        <v>19</v>
      </c>
      <c r="K74" s="530">
        <v>20</v>
      </c>
      <c r="L74" s="530">
        <v>21</v>
      </c>
      <c r="M74" s="530">
        <v>22</v>
      </c>
      <c r="N74" s="530">
        <v>23</v>
      </c>
      <c r="O74" s="530">
        <v>24</v>
      </c>
      <c r="P74" s="530">
        <v>25</v>
      </c>
      <c r="Q74" s="530">
        <v>26</v>
      </c>
      <c r="R74" s="530">
        <v>27</v>
      </c>
      <c r="S74" s="530">
        <v>28</v>
      </c>
      <c r="T74" s="530">
        <v>29</v>
      </c>
      <c r="U74" s="530">
        <v>30</v>
      </c>
      <c r="V74" s="530">
        <v>31</v>
      </c>
      <c r="W74" s="530">
        <v>32</v>
      </c>
      <c r="X74" s="530">
        <v>33</v>
      </c>
      <c r="Y74" s="530">
        <v>34</v>
      </c>
      <c r="Z74" s="558">
        <v>35</v>
      </c>
      <c r="AA74" s="530">
        <v>36</v>
      </c>
      <c r="AB74" s="558">
        <v>37</v>
      </c>
      <c r="AC74" s="530">
        <v>38</v>
      </c>
      <c r="AD74" s="558">
        <v>39</v>
      </c>
      <c r="AE74" s="530">
        <v>40</v>
      </c>
      <c r="AF74" s="558">
        <v>41</v>
      </c>
      <c r="AG74" s="530">
        <v>42</v>
      </c>
      <c r="AH74" s="558">
        <v>43</v>
      </c>
      <c r="AI74" s="530">
        <v>44</v>
      </c>
      <c r="AJ74" s="558">
        <v>45</v>
      </c>
      <c r="AK74" s="530">
        <v>46</v>
      </c>
      <c r="AL74" s="558">
        <v>47</v>
      </c>
      <c r="AM74" s="530">
        <v>48</v>
      </c>
      <c r="AN74" s="549" t="s"/>
      <c r="AO74" s="549" t="s"/>
      <c r="AP74" s="549" t="s"/>
      <c r="AQ74" s="549" t="s"/>
      <c r="AR74" s="549" t="s"/>
      <c r="AS74" s="549" t="s"/>
      <c r="AT74" s="524" t="s"/>
    </row>
    <row r="75" spans="1:46" ht="18" customHeight="1">
      <c r="A75" s="104" t="s"/>
      <c r="B75" s="531" t="s">
        <v>420</v>
      </c>
      <c r="C75" s="525" t="s">
        <v>393</v>
      </c>
      <c r="D75" s="539">
        <v>1</v>
      </c>
      <c r="E75" s="539">
        <v>0.9286</v>
      </c>
      <c r="F75" s="539">
        <v>0.8667</v>
      </c>
      <c r="G75" s="534">
        <v>0.8125</v>
      </c>
      <c r="H75" s="534">
        <v>0.7647</v>
      </c>
      <c r="I75" s="534">
        <v>0.7222</v>
      </c>
      <c r="J75" s="534">
        <v>0.6842</v>
      </c>
      <c r="K75" s="534">
        <v>0.65</v>
      </c>
      <c r="L75" s="534">
        <v>0.619</v>
      </c>
      <c r="M75" s="534">
        <v>0.5909</v>
      </c>
      <c r="N75" s="534">
        <v>0.5652</v>
      </c>
      <c r="O75" s="534">
        <v>0.5417</v>
      </c>
      <c r="P75" s="534">
        <v>0.52</v>
      </c>
      <c r="Q75" s="534">
        <v>0.5</v>
      </c>
      <c r="R75" s="534">
        <v>0.4815</v>
      </c>
      <c r="S75" s="534">
        <v>0.4643</v>
      </c>
      <c r="T75" s="534">
        <v>0.4483</v>
      </c>
      <c r="U75" s="534">
        <v>0.4333</v>
      </c>
      <c r="V75" s="534">
        <v>0.4194</v>
      </c>
      <c r="W75" s="534">
        <v>0.4063</v>
      </c>
      <c r="X75" s="534">
        <v>0.3939</v>
      </c>
      <c r="Y75" s="534">
        <v>0.3824</v>
      </c>
      <c r="Z75" s="559">
        <v>0.3714</v>
      </c>
      <c r="AA75" s="552">
        <f>13/AA77</f>
        <v>0.361111111111111</v>
      </c>
      <c r="AB75" s="552">
        <f>13/AB77</f>
        <v>0.351351351351351</v>
      </c>
      <c r="AC75" s="552">
        <f>13/AC77</f>
        <v>0.342105263157895</v>
      </c>
      <c r="AD75" s="552">
        <f>13/AD77</f>
        <v>0.333333333333333</v>
      </c>
      <c r="AE75" s="552">
        <f>13/AE77</f>
        <v>0.325</v>
      </c>
      <c r="AF75" s="552">
        <f>13/AF77</f>
        <v>0.317073170731707</v>
      </c>
      <c r="AG75" s="552">
        <f>13/AG77</f>
        <v>0.30952380952381</v>
      </c>
      <c r="AH75" s="552">
        <f>13/AH77</f>
        <v>0.302325581395349</v>
      </c>
      <c r="AI75" s="552">
        <f>13/AI77</f>
        <v>0.295454545454546</v>
      </c>
      <c r="AJ75" s="552">
        <f>13/AJ77</f>
        <v>0.288888888888889</v>
      </c>
      <c r="AK75" s="552">
        <f>13/AK77</f>
        <v>0.282608695652174</v>
      </c>
      <c r="AL75" s="552">
        <f>13/AL77</f>
        <v>0.276595744680851</v>
      </c>
      <c r="AM75" s="552">
        <f>13/AM77</f>
        <v>0.270833333333333</v>
      </c>
      <c r="AN75" s="549" t="s"/>
      <c r="AO75" s="549" t="s"/>
      <c r="AP75" s="549" t="s"/>
      <c r="AQ75" s="549" t="s"/>
      <c r="AR75" s="549" t="s"/>
      <c r="AS75" s="549" t="s"/>
      <c r="AT75" s="553" t="s"/>
    </row>
    <row r="76" spans="1:46" ht="18" customHeight="1">
      <c r="A76" s="104" t="s"/>
      <c r="B76" s="535" t="s"/>
      <c r="C76" s="525" t="s">
        <v>419</v>
      </c>
      <c r="D76" s="540">
        <v>1.07</v>
      </c>
      <c r="E76" s="540">
        <v>1.13</v>
      </c>
      <c r="F76" s="554">
        <v>1.2</v>
      </c>
      <c r="G76" s="537">
        <v>1.27</v>
      </c>
      <c r="H76" s="537">
        <v>1.33</v>
      </c>
      <c r="I76" s="537">
        <v>1.4</v>
      </c>
      <c r="J76" s="537">
        <v>1.47</v>
      </c>
      <c r="K76" s="537">
        <v>1.53</v>
      </c>
      <c r="L76" s="537">
        <v>1.6</v>
      </c>
      <c r="M76" s="537">
        <v>1.67</v>
      </c>
      <c r="N76" s="537">
        <v>1.73</v>
      </c>
      <c r="O76" s="537">
        <v>1.8</v>
      </c>
      <c r="P76" s="537">
        <v>1.87</v>
      </c>
      <c r="Q76" s="537">
        <v>1.93</v>
      </c>
      <c r="R76" s="537">
        <v>2</v>
      </c>
      <c r="S76" s="537">
        <v>2.07</v>
      </c>
      <c r="T76" s="537">
        <v>2.13</v>
      </c>
      <c r="U76" s="537">
        <v>2.2</v>
      </c>
      <c r="V76" s="560">
        <v>2.27</v>
      </c>
      <c r="W76" s="537">
        <v>2.33</v>
      </c>
      <c r="X76" s="537">
        <v>2.4</v>
      </c>
      <c r="Y76" s="537">
        <v>2.47</v>
      </c>
      <c r="Z76" s="555">
        <v>2.53</v>
      </c>
      <c r="AA76" s="561">
        <v>2.6</v>
      </c>
      <c r="AB76" s="556">
        <v>2.67</v>
      </c>
      <c r="AC76" s="556">
        <v>2.73</v>
      </c>
      <c r="AD76" s="556">
        <v>2.8</v>
      </c>
      <c r="AE76" s="556">
        <v>2.87</v>
      </c>
      <c r="AF76" s="556">
        <v>2.93</v>
      </c>
      <c r="AG76" s="556">
        <v>3</v>
      </c>
      <c r="AH76" s="556">
        <v>3.07</v>
      </c>
      <c r="AI76" s="556">
        <v>3.13</v>
      </c>
      <c r="AJ76" s="560">
        <v>3.2</v>
      </c>
      <c r="AK76" s="556">
        <v>3.27</v>
      </c>
      <c r="AL76" s="556">
        <v>3.33</v>
      </c>
      <c r="AM76" s="556">
        <v>3.4</v>
      </c>
      <c r="AN76" s="549" t="s"/>
      <c r="AO76" s="549" t="s"/>
      <c r="AP76" s="549" t="s"/>
      <c r="AQ76" s="549" t="s"/>
      <c r="AR76" s="549" t="s"/>
      <c r="AS76" s="549" t="s"/>
      <c r="AT76" s="557" t="s"/>
    </row>
    <row r="77" spans="1:46" ht="18" customHeight="1">
      <c r="A77" s="104" t="s"/>
      <c r="B77" s="535" t="s"/>
      <c r="C77" s="525" t="s">
        <v>395</v>
      </c>
      <c r="D77" s="542">
        <v>13</v>
      </c>
      <c r="E77" s="542">
        <v>14</v>
      </c>
      <c r="F77" s="542">
        <v>15</v>
      </c>
      <c r="G77" s="530">
        <v>16</v>
      </c>
      <c r="H77" s="530">
        <v>17</v>
      </c>
      <c r="I77" s="530">
        <v>18</v>
      </c>
      <c r="J77" s="530">
        <v>19</v>
      </c>
      <c r="K77" s="530">
        <v>20</v>
      </c>
      <c r="L77" s="530">
        <v>21</v>
      </c>
      <c r="M77" s="530">
        <v>22</v>
      </c>
      <c r="N77" s="530">
        <v>23</v>
      </c>
      <c r="O77" s="530">
        <v>24</v>
      </c>
      <c r="P77" s="530">
        <v>25</v>
      </c>
      <c r="Q77" s="530">
        <v>26</v>
      </c>
      <c r="R77" s="530">
        <v>27</v>
      </c>
      <c r="S77" s="530">
        <v>28</v>
      </c>
      <c r="T77" s="530">
        <v>29</v>
      </c>
      <c r="U77" s="530">
        <v>30</v>
      </c>
      <c r="V77" s="530">
        <v>31</v>
      </c>
      <c r="W77" s="530">
        <v>32</v>
      </c>
      <c r="X77" s="530">
        <v>33</v>
      </c>
      <c r="Y77" s="530">
        <v>34</v>
      </c>
      <c r="Z77" s="558">
        <v>35</v>
      </c>
      <c r="AA77" s="530">
        <v>36</v>
      </c>
      <c r="AB77" s="558">
        <v>37</v>
      </c>
      <c r="AC77" s="530">
        <v>38</v>
      </c>
      <c r="AD77" s="558">
        <v>39</v>
      </c>
      <c r="AE77" s="530">
        <v>40</v>
      </c>
      <c r="AF77" s="558">
        <v>41</v>
      </c>
      <c r="AG77" s="530">
        <v>42</v>
      </c>
      <c r="AH77" s="558">
        <v>43</v>
      </c>
      <c r="AI77" s="530">
        <v>44</v>
      </c>
      <c r="AJ77" s="558">
        <v>45</v>
      </c>
      <c r="AK77" s="530">
        <v>46</v>
      </c>
      <c r="AL77" s="558">
        <v>47</v>
      </c>
      <c r="AM77" s="530">
        <v>48</v>
      </c>
      <c r="AN77" s="549" t="s"/>
      <c r="AO77" s="549" t="s"/>
      <c r="AP77" s="549" t="s"/>
      <c r="AQ77" s="549" t="s"/>
      <c r="AR77" s="549" t="s"/>
      <c r="AS77" s="549" t="s"/>
      <c r="AT77" s="524" t="s"/>
    </row>
    <row r="78" spans="1:46" ht="18" customHeight="1">
      <c r="A78" s="104" t="s"/>
      <c r="B78" s="531" t="s">
        <v>421</v>
      </c>
      <c r="C78" s="525" t="s">
        <v>393</v>
      </c>
      <c r="D78" s="539">
        <v>1</v>
      </c>
      <c r="E78" s="486">
        <f>10/E80</f>
        <v>0.909090909090909</v>
      </c>
      <c r="F78" s="562">
        <f>10/F80</f>
        <v>0.833333333333334</v>
      </c>
      <c r="G78" s="562">
        <f>10/G80</f>
        <v>0.769230769230769</v>
      </c>
      <c r="H78" s="562">
        <f>10/H80</f>
        <v>0.714285714285714</v>
      </c>
      <c r="I78" s="562">
        <f>10/I80</f>
        <v>0.666666666666667</v>
      </c>
      <c r="J78" s="562">
        <f>10/J80</f>
        <v>0.625</v>
      </c>
      <c r="K78" s="562">
        <f>10/K80</f>
        <v>0.588235294117647</v>
      </c>
      <c r="L78" s="562">
        <f>10/L80</f>
        <v>0.555555555555556</v>
      </c>
      <c r="M78" s="562">
        <f>10/M80</f>
        <v>0.526315789473684</v>
      </c>
      <c r="N78" s="562">
        <f>10/N80</f>
        <v>0.5</v>
      </c>
      <c r="O78" s="562">
        <f>10/O80</f>
        <v>0.476190476190476</v>
      </c>
      <c r="P78" s="562">
        <f>10/P80</f>
        <v>0.454545454545455</v>
      </c>
      <c r="Q78" s="562">
        <f>10/Q80</f>
        <v>0.434782608695652</v>
      </c>
      <c r="R78" s="562">
        <f>10/R80</f>
        <v>0.416666666666667</v>
      </c>
      <c r="S78" s="562">
        <f>10/S80</f>
        <v>0.4</v>
      </c>
      <c r="T78" s="562">
        <f>10/T80</f>
        <v>0.384615384615385</v>
      </c>
      <c r="U78" s="562">
        <f>10/U80</f>
        <v>0.37037037037037</v>
      </c>
      <c r="V78" s="562">
        <f>10/V80</f>
        <v>0.357142857142857</v>
      </c>
      <c r="W78" s="562">
        <f>10/W80</f>
        <v>0.344827586206897</v>
      </c>
      <c r="X78" s="562">
        <f>10/X80</f>
        <v>0.333333333333333</v>
      </c>
      <c r="Y78" s="562">
        <f>10/Y80</f>
        <v>0.32258064516129</v>
      </c>
      <c r="Z78" s="563">
        <f>10/Z80</f>
        <v>0.3125</v>
      </c>
      <c r="AA78" s="563">
        <f>10/AA80</f>
        <v>0.303030303030303</v>
      </c>
      <c r="AB78" s="563">
        <f>10/AB80</f>
        <v>0.294117647058824</v>
      </c>
      <c r="AC78" s="563">
        <f>10/AC80</f>
        <v>0.285714285714286</v>
      </c>
      <c r="AD78" s="563">
        <f>10/AD80</f>
        <v>0.277777777777778</v>
      </c>
      <c r="AE78" s="563">
        <f>10/AE80</f>
        <v>0.27027027027027</v>
      </c>
      <c r="AF78" s="563">
        <f>10/AF80</f>
        <v>0.263157894736842</v>
      </c>
      <c r="AG78" s="563">
        <f>10/AG80</f>
        <v>0.256410256410256</v>
      </c>
      <c r="AH78" s="563">
        <f>10/AH80</f>
        <v>0.25</v>
      </c>
      <c r="AI78" s="563">
        <f>10/AI80</f>
        <v>0.24390243902439</v>
      </c>
      <c r="AJ78" s="563">
        <f>10/AJ80</f>
        <v>0.238095238095238</v>
      </c>
      <c r="AK78" s="563">
        <f>10/AK80</f>
        <v>0.232558139534884</v>
      </c>
      <c r="AL78" s="563">
        <f>10/AL80</f>
        <v>0.227272727272727</v>
      </c>
      <c r="AM78" s="563">
        <f>10/AM80</f>
        <v>0.222222222222222</v>
      </c>
      <c r="AN78" s="563">
        <f>10/AN80</f>
        <v>0.217391304347826</v>
      </c>
      <c r="AO78" s="563">
        <f>10/AO80</f>
        <v>0.212765957446809</v>
      </c>
      <c r="AP78" s="563">
        <f>10/AP80</f>
        <v>0.208333333333333</v>
      </c>
      <c r="AQ78" s="563">
        <f>10/AQ80</f>
        <v>0.204081632653061</v>
      </c>
      <c r="AR78" s="563">
        <f>10/AR80</f>
        <v>0.2</v>
      </c>
      <c r="AS78" s="564" t="s"/>
      <c r="AT78" s="564" t="s"/>
    </row>
    <row r="79" spans="1:46" ht="18" customHeight="1">
      <c r="A79" s="104" t="s"/>
      <c r="B79" s="535" t="s"/>
      <c r="C79" s="525" t="s">
        <v>394</v>
      </c>
      <c r="D79" s="540">
        <v>1</v>
      </c>
      <c r="E79" s="488">
        <f>D79/(D80-1)*(E80-1)</f>
        <v>1.11111111111111</v>
      </c>
      <c r="F79" s="528">
        <f>E79/(E80-1)*(F80-1)</f>
        <v>1.22222222222222</v>
      </c>
      <c r="G79" s="528">
        <f>F79/(F80-1)*(G80-1)</f>
        <v>1.33333333333333</v>
      </c>
      <c r="H79" s="528">
        <f>G79/(G80-1)*(H80-1)</f>
        <v>1.44444444444445</v>
      </c>
      <c r="I79" s="528">
        <f>H79/(H80-1)*(I80-1)</f>
        <v>1.55555555555556</v>
      </c>
      <c r="J79" s="528">
        <f>I79/(I80-1)*(J80-1)</f>
        <v>1.66666666666667</v>
      </c>
      <c r="K79" s="528">
        <f>J79/(J80-1)*(K80-1)</f>
        <v>1.77777777777778</v>
      </c>
      <c r="L79" s="528">
        <f>K79/(K80-1)*(L80-1)</f>
        <v>1.88888888888889</v>
      </c>
      <c r="M79" s="528">
        <f>L79/(L80-1)*(M80-1)</f>
        <v>2</v>
      </c>
      <c r="N79" s="528">
        <f>M79/(M80-1)*(N80-1)</f>
        <v>2.11111111111111</v>
      </c>
      <c r="O79" s="528">
        <f>N79/(N80-1)*(O80-1)</f>
        <v>2.22222222222222</v>
      </c>
      <c r="P79" s="528">
        <f>O79/(O80-1)*(P80-1)</f>
        <v>2.33333333333333</v>
      </c>
      <c r="Q79" s="528">
        <f>P79/(P80-1)*(Q80-1)</f>
        <v>2.44444444444445</v>
      </c>
      <c r="R79" s="528">
        <f>Q79/(Q80-1)*(R80-1)</f>
        <v>2.55555555555556</v>
      </c>
      <c r="S79" s="528">
        <f>R79/(R80-1)*(S80-1)</f>
        <v>2.66666666666667</v>
      </c>
      <c r="T79" s="528">
        <f>S79/(S80-1)*(T80-1)</f>
        <v>2.77777777777778</v>
      </c>
      <c r="U79" s="528">
        <f>T79/(T80-1)*(U80-1)</f>
        <v>2.88888888888889</v>
      </c>
      <c r="V79" s="528">
        <f>U79/(U80-1)*(V80-1)</f>
        <v>3</v>
      </c>
      <c r="W79" s="528">
        <f>V79/(V80-1)*(W80-1)</f>
        <v>3.11111111111111</v>
      </c>
      <c r="X79" s="528">
        <f>W79/(W80-1)*(X80-1)</f>
        <v>3.22222222222222</v>
      </c>
      <c r="Y79" s="528">
        <f>X79/(X80-1)*(Y80-1)</f>
        <v>3.33333333333334</v>
      </c>
      <c r="Z79" s="565">
        <f>Y79/(Y80-1)*(Z80-1)</f>
        <v>3.44444444444445</v>
      </c>
      <c r="AA79" s="565">
        <f>Z79/(Z80-1)*(AA80-1)</f>
        <v>3.55555555555556</v>
      </c>
      <c r="AB79" s="565">
        <f>AA79/(AA80-1)*(AB80-1)</f>
        <v>3.66666666666667</v>
      </c>
      <c r="AC79" s="565">
        <f>AB79/(AB80-1)*(AC80-1)</f>
        <v>3.77777777777778</v>
      </c>
      <c r="AD79" s="565">
        <f>AC79/(AC80-1)*(AD80-1)</f>
        <v>3.88888888888889</v>
      </c>
      <c r="AE79" s="565">
        <f>AD79/(AD80-1)*(AE80-1)</f>
        <v>4</v>
      </c>
      <c r="AF79" s="565">
        <f>AE79/(AE80-1)*(AF80-1)</f>
        <v>4.11111111111111</v>
      </c>
      <c r="AG79" s="565">
        <f>AF79/(AF80-1)*(AG80-1)</f>
        <v>4.22222222222222</v>
      </c>
      <c r="AH79" s="565">
        <f>AG79/(AG80-1)*(AH80-1)</f>
        <v>4.33333333333334</v>
      </c>
      <c r="AI79" s="565">
        <f>AH79/(AH80-1)*(AI80-1)</f>
        <v>4.44444444444445</v>
      </c>
      <c r="AJ79" s="565">
        <f>AI79/(AI80-1)*(AJ80-1)</f>
        <v>4.55555555555556</v>
      </c>
      <c r="AK79" s="565">
        <f>AJ79/(AJ80-1)*(AK80-1)</f>
        <v>4.66666666666667</v>
      </c>
      <c r="AL79" s="565">
        <f>AK79/(AK80-1)*(AL80-1)</f>
        <v>4.77777777777778</v>
      </c>
      <c r="AM79" s="565">
        <f>AL79/(AL80-1)*(AM80-1)</f>
        <v>4.88888888888889</v>
      </c>
      <c r="AN79" s="565">
        <f>AM79/(AM80-1)*(AN80-1)</f>
        <v>5</v>
      </c>
      <c r="AO79" s="565">
        <f>AN79/(AN80-1)*(AO80-1)</f>
        <v>5.11111111111111</v>
      </c>
      <c r="AP79" s="565">
        <f>AO79/(AO80-1)*(AP80-1)</f>
        <v>5.22222222222223</v>
      </c>
      <c r="AQ79" s="565">
        <f>AP79/(AP80-1)*(AQ80-1)</f>
        <v>5.33333333333334</v>
      </c>
      <c r="AR79" s="565">
        <f>AQ79/(AQ80-1)*(AR80-1)</f>
        <v>5.44444444444445</v>
      </c>
      <c r="AS79" s="566" t="s"/>
      <c r="AT79" s="566" t="s"/>
    </row>
    <row r="80" spans="1:46" ht="18" customHeight="1">
      <c r="A80" s="104" t="s"/>
      <c r="B80" s="535" t="s"/>
      <c r="C80" s="525" t="s">
        <v>395</v>
      </c>
      <c r="D80" s="542">
        <v>10</v>
      </c>
      <c r="E80" s="542">
        <v>11</v>
      </c>
      <c r="F80" s="542">
        <v>12</v>
      </c>
      <c r="G80" s="530">
        <v>13</v>
      </c>
      <c r="H80" s="530">
        <v>14</v>
      </c>
      <c r="I80" s="530">
        <v>15</v>
      </c>
      <c r="J80" s="530">
        <v>16</v>
      </c>
      <c r="K80" s="530">
        <v>17</v>
      </c>
      <c r="L80" s="530">
        <v>18</v>
      </c>
      <c r="M80" s="530">
        <v>19</v>
      </c>
      <c r="N80" s="530">
        <v>20</v>
      </c>
      <c r="O80" s="530">
        <v>21</v>
      </c>
      <c r="P80" s="530">
        <v>22</v>
      </c>
      <c r="Q80" s="530">
        <v>23</v>
      </c>
      <c r="R80" s="530">
        <v>24</v>
      </c>
      <c r="S80" s="530">
        <v>25</v>
      </c>
      <c r="T80" s="530">
        <v>26</v>
      </c>
      <c r="U80" s="530">
        <v>27</v>
      </c>
      <c r="V80" s="530">
        <v>28</v>
      </c>
      <c r="W80" s="530">
        <v>29</v>
      </c>
      <c r="X80" s="530">
        <v>30</v>
      </c>
      <c r="Y80" s="530">
        <v>31</v>
      </c>
      <c r="Z80" s="558">
        <v>32</v>
      </c>
      <c r="AA80" s="530">
        <v>33</v>
      </c>
      <c r="AB80" s="558">
        <v>34</v>
      </c>
      <c r="AC80" s="530">
        <v>35</v>
      </c>
      <c r="AD80" s="558">
        <v>36</v>
      </c>
      <c r="AE80" s="530">
        <v>37</v>
      </c>
      <c r="AF80" s="558">
        <v>38</v>
      </c>
      <c r="AG80" s="530">
        <v>39</v>
      </c>
      <c r="AH80" s="558">
        <v>40</v>
      </c>
      <c r="AI80" s="530">
        <v>41</v>
      </c>
      <c r="AJ80" s="558">
        <v>42</v>
      </c>
      <c r="AK80" s="530">
        <v>43</v>
      </c>
      <c r="AL80" s="558">
        <v>44</v>
      </c>
      <c r="AM80" s="530">
        <v>45</v>
      </c>
      <c r="AN80" s="558">
        <v>46</v>
      </c>
      <c r="AO80" s="530">
        <v>47</v>
      </c>
      <c r="AP80" s="558">
        <v>48</v>
      </c>
      <c r="AQ80" s="530">
        <v>49</v>
      </c>
      <c r="AR80" s="558">
        <v>50</v>
      </c>
      <c r="AS80" s="524" t="s"/>
      <c r="AT80" s="524" t="s"/>
    </row>
    <row r="81" spans="1:46" ht="18" customHeight="1">
      <c r="A81" s="104" t="s"/>
      <c r="B81" s="531" t="s">
        <v>422</v>
      </c>
      <c r="C81" s="525" t="s">
        <v>393</v>
      </c>
      <c r="D81" s="539">
        <v>1</v>
      </c>
      <c r="E81" s="486">
        <f>10/E83</f>
        <v>0.909090909090909</v>
      </c>
      <c r="F81" s="562">
        <f>10/F83</f>
        <v>0.833333333333334</v>
      </c>
      <c r="G81" s="562">
        <f>10/G83</f>
        <v>0.769230769230769</v>
      </c>
      <c r="H81" s="562">
        <f>10/H83</f>
        <v>0.714285714285714</v>
      </c>
      <c r="I81" s="562">
        <f>10/I83</f>
        <v>0.666666666666667</v>
      </c>
      <c r="J81" s="562">
        <f>10/J83</f>
        <v>0.625</v>
      </c>
      <c r="K81" s="562">
        <f>10/K83</f>
        <v>0.588235294117647</v>
      </c>
      <c r="L81" s="562">
        <f>10/L83</f>
        <v>0.555555555555556</v>
      </c>
      <c r="M81" s="562">
        <f>10/M83</f>
        <v>0.526315789473684</v>
      </c>
      <c r="N81" s="562">
        <f>10/N83</f>
        <v>0.5</v>
      </c>
      <c r="O81" s="562">
        <f>10/O83</f>
        <v>0.476190476190476</v>
      </c>
      <c r="P81" s="562">
        <f>10/P83</f>
        <v>0.454545454545455</v>
      </c>
      <c r="Q81" s="562">
        <f>10/Q83</f>
        <v>0.434782608695652</v>
      </c>
      <c r="R81" s="562">
        <f>10/R83</f>
        <v>0.416666666666667</v>
      </c>
      <c r="S81" s="562">
        <f>10/S83</f>
        <v>0.4</v>
      </c>
      <c r="T81" s="562">
        <f>10/T83</f>
        <v>0.384615384615385</v>
      </c>
      <c r="U81" s="562">
        <f>10/U83</f>
        <v>0.37037037037037</v>
      </c>
      <c r="V81" s="562">
        <f>10/V83</f>
        <v>0.357142857142857</v>
      </c>
      <c r="W81" s="562">
        <f>10/W83</f>
        <v>0.344827586206897</v>
      </c>
      <c r="X81" s="562">
        <f>10/X83</f>
        <v>0.333333333333333</v>
      </c>
      <c r="Y81" s="562">
        <f>10/Y83</f>
        <v>0.32258064516129</v>
      </c>
      <c r="Z81" s="563">
        <f>10/Z83</f>
        <v>0.3125</v>
      </c>
      <c r="AA81" s="563">
        <f>10/AA83</f>
        <v>0.303030303030303</v>
      </c>
      <c r="AB81" s="563">
        <f>10/AB83</f>
        <v>0.294117647058824</v>
      </c>
      <c r="AC81" s="563">
        <f>10/AC83</f>
        <v>0.285714285714286</v>
      </c>
      <c r="AD81" s="563">
        <f>10/AD83</f>
        <v>0.277777777777778</v>
      </c>
      <c r="AE81" s="563">
        <f>10/AE83</f>
        <v>0.27027027027027</v>
      </c>
      <c r="AF81" s="563">
        <f>10/AF83</f>
        <v>0.263157894736842</v>
      </c>
      <c r="AG81" s="563">
        <f>10/AG83</f>
        <v>0.256410256410256</v>
      </c>
      <c r="AH81" s="563">
        <f>10/AH83</f>
        <v>0.25</v>
      </c>
      <c r="AI81" s="563">
        <f>10/AI83</f>
        <v>0.24390243902439</v>
      </c>
      <c r="AJ81" s="563">
        <f>10/AJ83</f>
        <v>0.238095238095238</v>
      </c>
      <c r="AK81" s="563">
        <f>10/AK83</f>
        <v>0.232558139534884</v>
      </c>
      <c r="AL81" s="563">
        <f>10/AL83</f>
        <v>0.227272727272727</v>
      </c>
      <c r="AM81" s="563">
        <f>10/AM83</f>
        <v>0.222222222222222</v>
      </c>
      <c r="AN81" s="563">
        <f>10/AN83</f>
        <v>0.217391304347826</v>
      </c>
      <c r="AO81" s="563">
        <f>10/AO83</f>
        <v>0.212765957446809</v>
      </c>
      <c r="AP81" s="563">
        <f>10/AP83</f>
        <v>0.208333333333333</v>
      </c>
      <c r="AQ81" s="563">
        <f>10/AQ83</f>
        <v>0.204081632653061</v>
      </c>
      <c r="AR81" s="563">
        <f>10/AR83</f>
        <v>0.2</v>
      </c>
      <c r="AS81" s="563">
        <f>10/AS83</f>
        <v>0.196078431372549</v>
      </c>
      <c r="AT81" s="563">
        <f>10/AT83</f>
        <v>0.192307692307692</v>
      </c>
    </row>
    <row r="82" spans="1:46" ht="18" customHeight="1">
      <c r="A82" s="104" t="s"/>
      <c r="B82" s="535" t="s"/>
      <c r="C82" s="525" t="s">
        <v>394</v>
      </c>
      <c r="D82" s="540">
        <v>1</v>
      </c>
      <c r="E82" s="488">
        <f>D82/(D83-1)*(E83-1)</f>
        <v>1.11111111111111</v>
      </c>
      <c r="F82" s="528">
        <f>E82/(E83-1)*(F83-1)</f>
        <v>1.22222222222222</v>
      </c>
      <c r="G82" s="528">
        <f>F82/(F83-1)*(G83-1)</f>
        <v>1.33333333333333</v>
      </c>
      <c r="H82" s="528">
        <f>G82/(G83-1)*(H83-1)</f>
        <v>1.44444444444445</v>
      </c>
      <c r="I82" s="528">
        <f>H82/(H83-1)*(I83-1)</f>
        <v>1.55555555555556</v>
      </c>
      <c r="J82" s="528">
        <f>I82/(I83-1)*(J83-1)</f>
        <v>1.66666666666667</v>
      </c>
      <c r="K82" s="528">
        <f>J82/(J83-1)*(K83-1)</f>
        <v>1.77777777777778</v>
      </c>
      <c r="L82" s="528">
        <f>K82/(K83-1)*(L83-1)</f>
        <v>1.88888888888889</v>
      </c>
      <c r="M82" s="528">
        <f>L82/(L83-1)*(M83-1)</f>
        <v>2</v>
      </c>
      <c r="N82" s="528">
        <f>M82/(M83-1)*(N83-1)</f>
        <v>2.11111111111111</v>
      </c>
      <c r="O82" s="528">
        <f>N82/(N83-1)*(O83-1)</f>
        <v>2.22222222222222</v>
      </c>
      <c r="P82" s="528">
        <f>O82/(O83-1)*(P83-1)</f>
        <v>2.33333333333333</v>
      </c>
      <c r="Q82" s="528">
        <f>P82/(P83-1)*(Q83-1)</f>
        <v>2.44444444444445</v>
      </c>
      <c r="R82" s="528">
        <f>Q82/(Q83-1)*(R83-1)</f>
        <v>2.55555555555556</v>
      </c>
      <c r="S82" s="528">
        <f>R82/(R83-1)*(S83-1)</f>
        <v>2.66666666666667</v>
      </c>
      <c r="T82" s="528">
        <f>S82/(S83-1)*(T83-1)</f>
        <v>2.77777777777778</v>
      </c>
      <c r="U82" s="528">
        <f>T82/(T83-1)*(U83-1)</f>
        <v>2.88888888888889</v>
      </c>
      <c r="V82" s="528">
        <f>U82/(U83-1)*(V83-1)</f>
        <v>3</v>
      </c>
      <c r="W82" s="528">
        <f>V82/(V83-1)*(W83-1)</f>
        <v>3.11111111111111</v>
      </c>
      <c r="X82" s="528">
        <f>W82/(W83-1)*(X83-1)</f>
        <v>3.22222222222222</v>
      </c>
      <c r="Y82" s="528">
        <f>X82/(X83-1)*(Y83-1)</f>
        <v>3.33333333333334</v>
      </c>
      <c r="Z82" s="565">
        <f>Y82/(Y83-1)*(Z83-1)</f>
        <v>3.44444444444445</v>
      </c>
      <c r="AA82" s="565">
        <f>Z82/(Z83-1)*(AA83-1)</f>
        <v>3.55555555555556</v>
      </c>
      <c r="AB82" s="565">
        <f>AA82/(AA83-1)*(AB83-1)</f>
        <v>3.66666666666667</v>
      </c>
      <c r="AC82" s="565">
        <f>AB82/(AB83-1)*(AC83-1)</f>
        <v>3.77777777777778</v>
      </c>
      <c r="AD82" s="565">
        <f>AC82/(AC83-1)*(AD83-1)</f>
        <v>3.88888888888889</v>
      </c>
      <c r="AE82" s="565">
        <f>AD82/(AD83-1)*(AE83-1)</f>
        <v>4</v>
      </c>
      <c r="AF82" s="565">
        <f>AE82/(AE83-1)*(AF83-1)</f>
        <v>4.11111111111111</v>
      </c>
      <c r="AG82" s="565">
        <f>AF82/(AF83-1)*(AG83-1)</f>
        <v>4.22222222222222</v>
      </c>
      <c r="AH82" s="565">
        <f>AG82/(AG83-1)*(AH83-1)</f>
        <v>4.33333333333334</v>
      </c>
      <c r="AI82" s="565">
        <f>AH82/(AH83-1)*(AI83-1)</f>
        <v>4.44444444444445</v>
      </c>
      <c r="AJ82" s="565">
        <f>AI82/(AI83-1)*(AJ83-1)</f>
        <v>4.55555555555556</v>
      </c>
      <c r="AK82" s="565">
        <f>AJ82/(AJ83-1)*(AK83-1)</f>
        <v>4.66666666666667</v>
      </c>
      <c r="AL82" s="565">
        <f>AK82/(AK83-1)*(AL83-1)</f>
        <v>4.77777777777778</v>
      </c>
      <c r="AM82" s="565">
        <f>AL82/(AL83-1)*(AM83-1)</f>
        <v>4.88888888888889</v>
      </c>
      <c r="AN82" s="565">
        <f>AM82/(AM83-1)*(AN83-1)</f>
        <v>5</v>
      </c>
      <c r="AO82" s="565">
        <f>AN82/(AN83-1)*(AO83-1)</f>
        <v>5.11111111111111</v>
      </c>
      <c r="AP82" s="565">
        <f>AO82/(AO83-1)*(AP83-1)</f>
        <v>5.22222222222223</v>
      </c>
      <c r="AQ82" s="565">
        <f>AP82/(AP83-1)*(AQ83-1)</f>
        <v>5.33333333333334</v>
      </c>
      <c r="AR82" s="565">
        <f>AQ82/(AQ83-1)*(AR83-1)</f>
        <v>5.44444444444445</v>
      </c>
      <c r="AS82" s="565">
        <f>AR82/(AR83-1)*(AS83-1)</f>
        <v>5.55555555555556</v>
      </c>
      <c r="AT82" s="565">
        <f>AS82/(AS83-1)*(AT83-1)</f>
        <v>5.66666666666667</v>
      </c>
    </row>
    <row r="83" spans="1:46" ht="18" customHeight="1">
      <c r="A83" s="104" t="s"/>
      <c r="B83" s="535" t="s"/>
      <c r="C83" s="525" t="s">
        <v>395</v>
      </c>
      <c r="D83" s="542">
        <v>10</v>
      </c>
      <c r="E83" s="542">
        <v>11</v>
      </c>
      <c r="F83" s="542">
        <v>12</v>
      </c>
      <c r="G83" s="530">
        <v>13</v>
      </c>
      <c r="H83" s="530">
        <v>14</v>
      </c>
      <c r="I83" s="530">
        <v>15</v>
      </c>
      <c r="J83" s="530">
        <v>16</v>
      </c>
      <c r="K83" s="530">
        <v>17</v>
      </c>
      <c r="L83" s="530">
        <v>18</v>
      </c>
      <c r="M83" s="530">
        <v>19</v>
      </c>
      <c r="N83" s="530">
        <v>20</v>
      </c>
      <c r="O83" s="530">
        <v>21</v>
      </c>
      <c r="P83" s="530">
        <v>22</v>
      </c>
      <c r="Q83" s="530">
        <v>23</v>
      </c>
      <c r="R83" s="530">
        <v>24</v>
      </c>
      <c r="S83" s="530">
        <v>25</v>
      </c>
      <c r="T83" s="530">
        <v>26</v>
      </c>
      <c r="U83" s="530">
        <v>27</v>
      </c>
      <c r="V83" s="530">
        <v>28</v>
      </c>
      <c r="W83" s="530">
        <v>29</v>
      </c>
      <c r="X83" s="530">
        <v>30</v>
      </c>
      <c r="Y83" s="530">
        <v>31</v>
      </c>
      <c r="Z83" s="558">
        <v>32</v>
      </c>
      <c r="AA83" s="558">
        <v>33</v>
      </c>
      <c r="AB83" s="558">
        <v>34</v>
      </c>
      <c r="AC83" s="558">
        <v>35</v>
      </c>
      <c r="AD83" s="558">
        <v>36</v>
      </c>
      <c r="AE83" s="558">
        <v>37</v>
      </c>
      <c r="AF83" s="558">
        <v>38</v>
      </c>
      <c r="AG83" s="558">
        <v>39</v>
      </c>
      <c r="AH83" s="558">
        <v>40</v>
      </c>
      <c r="AI83" s="558">
        <v>41</v>
      </c>
      <c r="AJ83" s="558">
        <v>42</v>
      </c>
      <c r="AK83" s="558">
        <v>43</v>
      </c>
      <c r="AL83" s="558">
        <v>44</v>
      </c>
      <c r="AM83" s="558">
        <v>45</v>
      </c>
      <c r="AN83" s="558">
        <v>46</v>
      </c>
      <c r="AO83" s="558">
        <v>47</v>
      </c>
      <c r="AP83" s="558">
        <v>48</v>
      </c>
      <c r="AQ83" s="558">
        <v>49</v>
      </c>
      <c r="AR83" s="558">
        <v>50</v>
      </c>
      <c r="AS83" s="558">
        <v>51</v>
      </c>
      <c r="AT83" s="558">
        <v>52</v>
      </c>
    </row>
    <row r="84" spans="1:46" ht="18" customHeight="1">
      <c r="A84" s="104" t="s"/>
      <c r="B84" s="531" t="s">
        <v>423</v>
      </c>
      <c r="C84" s="525" t="s">
        <v>393</v>
      </c>
      <c r="D84" s="539">
        <v>1</v>
      </c>
      <c r="E84" s="495">
        <f>7/E86</f>
        <v>0.875</v>
      </c>
      <c r="F84" s="567">
        <f>7/F86</f>
        <v>0.777777777777778</v>
      </c>
      <c r="G84" s="567">
        <f>7/G86</f>
        <v>0.7</v>
      </c>
      <c r="H84" s="567">
        <f>7/H86</f>
        <v>0.636363636363637</v>
      </c>
      <c r="I84" s="567">
        <f>7/I86</f>
        <v>0.583333333333334</v>
      </c>
      <c r="J84" s="567">
        <f>7/J86</f>
        <v>0.538461538461539</v>
      </c>
      <c r="K84" s="567">
        <f>7/K86</f>
        <v>0.5</v>
      </c>
      <c r="L84" s="567">
        <f>7/L86</f>
        <v>0.466666666666667</v>
      </c>
      <c r="M84" s="567">
        <f>7/M86</f>
        <v>0.4375</v>
      </c>
      <c r="N84" s="567">
        <f>7/N86</f>
        <v>0.411764705882353</v>
      </c>
      <c r="O84" s="567">
        <f>7/O86</f>
        <v>0.388888888888889</v>
      </c>
      <c r="P84" s="567">
        <f>7/P86</f>
        <v>0.368421052631579</v>
      </c>
      <c r="Q84" s="567">
        <f>7/Q86</f>
        <v>0.35</v>
      </c>
      <c r="R84" s="567">
        <f>7/R86</f>
        <v>0.333333333333333</v>
      </c>
      <c r="S84" s="567">
        <f>7/S86</f>
        <v>0.318181818181818</v>
      </c>
      <c r="T84" s="567">
        <f>7/T86</f>
        <v>0.304347826086957</v>
      </c>
      <c r="U84" s="567">
        <f>7/U86</f>
        <v>0.291666666666667</v>
      </c>
      <c r="V84" s="567">
        <f>7/V86</f>
        <v>0.28</v>
      </c>
      <c r="W84" s="567">
        <f>7/W86</f>
        <v>0.269230769230769</v>
      </c>
      <c r="X84" s="567">
        <f>7/X86</f>
        <v>0.259259259259259</v>
      </c>
      <c r="Y84" s="567">
        <f>7/Y86</f>
        <v>0.25</v>
      </c>
      <c r="Z84" s="563">
        <f>7/Z86</f>
        <v>0.241379310344828</v>
      </c>
      <c r="AA84" s="563">
        <f>7/AA86</f>
        <v>0.233333333333333</v>
      </c>
      <c r="AB84" s="563">
        <f>7/AB86</f>
        <v>0.225806451612903</v>
      </c>
      <c r="AC84" s="563">
        <f>7/AC86</f>
        <v>0.21875</v>
      </c>
      <c r="AD84" s="563">
        <f>7/AD86</f>
        <v>0.212121212121212</v>
      </c>
      <c r="AE84" s="563">
        <f>7/AE86</f>
        <v>0.205882352941177</v>
      </c>
      <c r="AF84" s="563">
        <f>7/AF86</f>
        <v>0.2</v>
      </c>
      <c r="AG84" s="563">
        <f>7/AG86</f>
        <v>0.194444444444444</v>
      </c>
      <c r="AH84" s="563">
        <f>7/AH86</f>
        <v>0.189189189189189</v>
      </c>
      <c r="AI84" s="563">
        <f>7/AI86</f>
        <v>0.18421052631579</v>
      </c>
      <c r="AJ84" s="563">
        <f>7/AJ86</f>
        <v>0.17948717948718</v>
      </c>
      <c r="AK84" s="563">
        <f>7/AK86</f>
        <v>0.175</v>
      </c>
      <c r="AL84" s="553" t="s"/>
      <c r="AM84" s="553" t="s"/>
      <c r="AN84" s="553" t="s"/>
      <c r="AO84" s="553" t="s"/>
      <c r="AP84" s="553" t="s"/>
      <c r="AQ84" s="553" t="s"/>
      <c r="AR84" s="553" t="s"/>
      <c r="AS84" s="553" t="s"/>
      <c r="AT84" s="553" t="s"/>
    </row>
    <row r="85" spans="1:46" ht="18" customHeight="1">
      <c r="A85" s="104" t="s"/>
      <c r="B85" s="535" t="s"/>
      <c r="C85" s="525" t="s">
        <v>394</v>
      </c>
      <c r="D85" s="540">
        <v>1.2</v>
      </c>
      <c r="E85" s="488">
        <f>D85/(D86-1)*(E86-1)</f>
        <v>1.4</v>
      </c>
      <c r="F85" s="528">
        <f>E85/(E86-1)*(F86-1)</f>
        <v>1.6</v>
      </c>
      <c r="G85" s="528">
        <f>F85/(F86-1)*(G86-1)</f>
        <v>1.8</v>
      </c>
      <c r="H85" s="528">
        <f>G85/(G86-1)*(H86-1)</f>
        <v>2</v>
      </c>
      <c r="I85" s="528">
        <f>H85/(H86-1)*(I86-1)</f>
        <v>2.2</v>
      </c>
      <c r="J85" s="528">
        <f>I85/(I86-1)*(J86-1)</f>
        <v>2.4</v>
      </c>
      <c r="K85" s="528">
        <f>J85/(J86-1)*(K86-1)</f>
        <v>2.6</v>
      </c>
      <c r="L85" s="528">
        <f>K85/(K86-1)*(L86-1)</f>
        <v>2.8</v>
      </c>
      <c r="M85" s="528">
        <f>L85/(L86-1)*(M86-1)</f>
        <v>3</v>
      </c>
      <c r="N85" s="528">
        <f>M85/(M86-1)*(N86-1)</f>
        <v>3.2</v>
      </c>
      <c r="O85" s="528">
        <f>N85/(N86-1)*(O86-1)</f>
        <v>3.4</v>
      </c>
      <c r="P85" s="528">
        <f>O85/(O86-1)*(P86-1)</f>
        <v>3.6</v>
      </c>
      <c r="Q85" s="528">
        <f>P85/(P86-1)*(Q86-1)</f>
        <v>3.8</v>
      </c>
      <c r="R85" s="528">
        <f>Q85/(Q86-1)*(R86-1)</f>
        <v>4</v>
      </c>
      <c r="S85" s="528">
        <f>R85/(R86-1)*(S86-1)</f>
        <v>4.2</v>
      </c>
      <c r="T85" s="528">
        <f>S85/(S86-1)*(T86-1)</f>
        <v>4.4</v>
      </c>
      <c r="U85" s="528">
        <f>T85/(T86-1)*(U86-1)</f>
        <v>4.6</v>
      </c>
      <c r="V85" s="528">
        <f>U85/(U86-1)*(V86-1)</f>
        <v>4.8</v>
      </c>
      <c r="W85" s="528">
        <f>V85/(V86-1)*(W86-1)</f>
        <v>5</v>
      </c>
      <c r="X85" s="528">
        <f>W85/(W86-1)*(X86-1)</f>
        <v>5.2</v>
      </c>
      <c r="Y85" s="528">
        <f>X85/(X86-1)*(Y86-1)</f>
        <v>5.4</v>
      </c>
      <c r="Z85" s="565">
        <f>Y85/(Y86-1)*(Z86-1)</f>
        <v>5.6</v>
      </c>
      <c r="AA85" s="565">
        <f>Z85/(Z86-1)*(AA86-1)</f>
        <v>5.8</v>
      </c>
      <c r="AB85" s="565">
        <f>AA85/(AA86-1)*(AB86-1)</f>
        <v>6</v>
      </c>
      <c r="AC85" s="565">
        <f>AB85/(AB86-1)*(AC86-1)</f>
        <v>6.2</v>
      </c>
      <c r="AD85" s="565">
        <f>AC85/(AC86-1)*(AD86-1)</f>
        <v>6.4</v>
      </c>
      <c r="AE85" s="565">
        <f>AD85/(AD86-1)*(AE86-1)</f>
        <v>6.6</v>
      </c>
      <c r="AF85" s="565">
        <f>AE85/(AE86-1)*(AF86-1)</f>
        <v>6.8</v>
      </c>
      <c r="AG85" s="565">
        <f>AF85/(AF86-1)*(AG86-1)</f>
        <v>7</v>
      </c>
      <c r="AH85" s="565">
        <f>AG85/(AG86-1)*(AH86-1)</f>
        <v>7.2</v>
      </c>
      <c r="AI85" s="565">
        <f>AH85/(AH86-1)*(AI86-1)</f>
        <v>7.4</v>
      </c>
      <c r="AJ85" s="565">
        <f>AI85/(AI86-1)*(AJ86-1)</f>
        <v>7.6</v>
      </c>
      <c r="AK85" s="565">
        <f>AJ85/(AJ86-1)*(AK86-1)</f>
        <v>7.8</v>
      </c>
      <c r="AL85" s="549" t="s"/>
      <c r="AM85" s="549" t="s"/>
      <c r="AN85" s="549" t="s"/>
      <c r="AO85" s="549" t="s"/>
      <c r="AP85" s="549" t="s"/>
      <c r="AQ85" s="549" t="s"/>
      <c r="AR85" s="549" t="s"/>
      <c r="AS85" s="549" t="s"/>
      <c r="AT85" s="549" t="s"/>
    </row>
    <row r="86" spans="1:46" ht="18" customHeight="1">
      <c r="A86" s="104" t="s"/>
      <c r="B86" s="535" t="s"/>
      <c r="C86" s="525" t="s">
        <v>395</v>
      </c>
      <c r="D86" s="542">
        <v>7</v>
      </c>
      <c r="E86" s="542">
        <v>8</v>
      </c>
      <c r="F86" s="542">
        <v>9</v>
      </c>
      <c r="G86" s="542">
        <v>10</v>
      </c>
      <c r="H86" s="542">
        <v>11</v>
      </c>
      <c r="I86" s="542">
        <v>12</v>
      </c>
      <c r="J86" s="542">
        <v>13</v>
      </c>
      <c r="K86" s="542">
        <v>14</v>
      </c>
      <c r="L86" s="542">
        <v>15</v>
      </c>
      <c r="M86" s="542">
        <v>16</v>
      </c>
      <c r="N86" s="542">
        <v>17</v>
      </c>
      <c r="O86" s="542">
        <v>18</v>
      </c>
      <c r="P86" s="542">
        <v>19</v>
      </c>
      <c r="Q86" s="542">
        <v>20</v>
      </c>
      <c r="R86" s="542">
        <v>21</v>
      </c>
      <c r="S86" s="542">
        <v>22</v>
      </c>
      <c r="T86" s="542">
        <v>23</v>
      </c>
      <c r="U86" s="542">
        <v>24</v>
      </c>
      <c r="V86" s="542">
        <v>25</v>
      </c>
      <c r="W86" s="530">
        <v>26</v>
      </c>
      <c r="X86" s="530">
        <v>27</v>
      </c>
      <c r="Y86" s="530">
        <v>28</v>
      </c>
      <c r="Z86" s="558">
        <v>29</v>
      </c>
      <c r="AA86" s="530">
        <v>30</v>
      </c>
      <c r="AB86" s="558">
        <v>31</v>
      </c>
      <c r="AC86" s="530">
        <v>32</v>
      </c>
      <c r="AD86" s="558">
        <v>33</v>
      </c>
      <c r="AE86" s="530">
        <v>34</v>
      </c>
      <c r="AF86" s="558">
        <v>35</v>
      </c>
      <c r="AG86" s="530">
        <v>36</v>
      </c>
      <c r="AH86" s="558">
        <v>37</v>
      </c>
      <c r="AI86" s="530">
        <v>38</v>
      </c>
      <c r="AJ86" s="558">
        <v>39</v>
      </c>
      <c r="AK86" s="530">
        <v>40</v>
      </c>
      <c r="AL86" s="549" t="s"/>
      <c r="AM86" s="549" t="s"/>
      <c r="AN86" s="549" t="s"/>
      <c r="AO86" s="549" t="s"/>
      <c r="AP86" s="549" t="s"/>
      <c r="AQ86" s="549" t="s"/>
      <c r="AR86" s="549" t="s"/>
      <c r="AS86" s="549" t="s"/>
      <c r="AT86" s="549" t="s"/>
    </row>
    <row r="87" spans="1:46" ht="18" customHeight="1">
      <c r="A87" s="104" t="s"/>
      <c r="B87" s="531" t="s">
        <v>424</v>
      </c>
      <c r="C87" s="525" t="s">
        <v>393</v>
      </c>
      <c r="D87" s="568">
        <v>1</v>
      </c>
      <c r="E87" s="495">
        <f>7/E89</f>
        <v>0.875</v>
      </c>
      <c r="F87" s="563">
        <f>7/F89</f>
        <v>0.777777777777778</v>
      </c>
      <c r="G87" s="563">
        <f>7/G89</f>
        <v>0.7</v>
      </c>
      <c r="H87" s="563">
        <f>7/H89</f>
        <v>0.636363636363637</v>
      </c>
      <c r="I87" s="563">
        <f>7/I89</f>
        <v>0.583333333333334</v>
      </c>
      <c r="J87" s="563">
        <f>7/J89</f>
        <v>0.538461538461539</v>
      </c>
      <c r="K87" s="563">
        <f>7/K89</f>
        <v>0.5</v>
      </c>
      <c r="L87" s="563">
        <f>7/L89</f>
        <v>0.466666666666667</v>
      </c>
      <c r="M87" s="563">
        <f>7/M89</f>
        <v>0.4375</v>
      </c>
      <c r="N87" s="563">
        <f>7/N89</f>
        <v>0.411764705882353</v>
      </c>
      <c r="O87" s="563">
        <f>7/O89</f>
        <v>0.388888888888889</v>
      </c>
      <c r="P87" s="563">
        <f>7/P89</f>
        <v>0.368421052631579</v>
      </c>
      <c r="Q87" s="563">
        <f>7/Q89</f>
        <v>0.35</v>
      </c>
      <c r="R87" s="563">
        <f>7/R89</f>
        <v>0.333333333333333</v>
      </c>
      <c r="S87" s="563">
        <f>7/S89</f>
        <v>0.318181818181818</v>
      </c>
      <c r="T87" s="563">
        <f>7/T89</f>
        <v>0.304347826086957</v>
      </c>
      <c r="U87" s="563">
        <f>7/U89</f>
        <v>0.291666666666667</v>
      </c>
      <c r="V87" s="563">
        <f>7/V89</f>
        <v>0.28</v>
      </c>
      <c r="W87" s="563">
        <f>7/W89</f>
        <v>0.269230769230769</v>
      </c>
      <c r="X87" s="563">
        <f>7/X89</f>
        <v>0.259259259259259</v>
      </c>
      <c r="Y87" s="563">
        <f>7/Y89</f>
        <v>0.25</v>
      </c>
      <c r="Z87" s="563">
        <f>7/Z89</f>
        <v>0.241379310344828</v>
      </c>
      <c r="AA87" s="563">
        <f>7/AA89</f>
        <v>0.233333333333333</v>
      </c>
      <c r="AB87" s="563">
        <f>7/AB89</f>
        <v>0.225806451612903</v>
      </c>
      <c r="AC87" s="563">
        <f>7/AC89</f>
        <v>0.21875</v>
      </c>
      <c r="AD87" s="563">
        <f>7/AD89</f>
        <v>0.212121212121212</v>
      </c>
      <c r="AE87" s="563">
        <f>7/AE89</f>
        <v>0.205882352941177</v>
      </c>
      <c r="AF87" s="563">
        <f>7/AF89</f>
        <v>0.2</v>
      </c>
      <c r="AG87" s="563">
        <f>7/AG89</f>
        <v>0.194444444444444</v>
      </c>
      <c r="AH87" s="563">
        <f>7/AH89</f>
        <v>0.189189189189189</v>
      </c>
      <c r="AI87" s="563">
        <f>7/AI89</f>
        <v>0.18421052631579</v>
      </c>
      <c r="AJ87" s="563">
        <f>7/AJ89</f>
        <v>0.17948717948718</v>
      </c>
      <c r="AK87" s="563">
        <f>7/AK89</f>
        <v>0.175</v>
      </c>
      <c r="AL87" s="549" t="s"/>
      <c r="AM87" s="549" t="s"/>
      <c r="AN87" s="549" t="s"/>
      <c r="AO87" s="549" t="s"/>
      <c r="AP87" s="549" t="s"/>
      <c r="AQ87" s="549" t="s"/>
      <c r="AR87" s="549" t="s"/>
      <c r="AS87" s="549" t="s"/>
      <c r="AT87" s="549" t="s"/>
    </row>
    <row r="88" spans="1:46" ht="18" customHeight="1">
      <c r="A88" s="104" t="s"/>
      <c r="B88" s="535" t="s"/>
      <c r="C88" s="525" t="s">
        <v>394</v>
      </c>
      <c r="D88" s="569">
        <v>0.92</v>
      </c>
      <c r="E88" s="483">
        <f>D88/(D89-1)*(E89-1)</f>
        <v>1.07333333333333</v>
      </c>
      <c r="F88" s="483">
        <f>E88/(E89-1)*(F89-1)</f>
        <v>1.22666666666667</v>
      </c>
      <c r="G88" s="483">
        <f>F88/(F89-1)*(G89-1)</f>
        <v>1.38</v>
      </c>
      <c r="H88" s="483">
        <f>G88/(G89-1)*(H89-1)</f>
        <v>1.53333333333333</v>
      </c>
      <c r="I88" s="483">
        <f>H88/(H89-1)*(I89-1)</f>
        <v>1.68666666666667</v>
      </c>
      <c r="J88" s="483">
        <f>I88/(I89-1)*(J89-1)</f>
        <v>1.84</v>
      </c>
      <c r="K88" s="483">
        <f>J88/(J89-1)*(K89-1)</f>
        <v>1.99333333333333</v>
      </c>
      <c r="L88" s="483">
        <f>K88/(K89-1)*(L89-1)</f>
        <v>2.14666666666667</v>
      </c>
      <c r="M88" s="483">
        <f>L88/(L89-1)*(M89-1)</f>
        <v>2.3</v>
      </c>
      <c r="N88" s="483">
        <f>M88/(M89-1)*(N89-1)</f>
        <v>2.45333333333333</v>
      </c>
      <c r="O88" s="483">
        <f>N88/(N89-1)*(O89-1)</f>
        <v>2.60666666666667</v>
      </c>
      <c r="P88" s="483">
        <f>O88/(O89-1)*(P89-1)</f>
        <v>2.76</v>
      </c>
      <c r="Q88" s="483">
        <f>P88/(P89-1)*(Q89-1)</f>
        <v>2.91333333333333</v>
      </c>
      <c r="R88" s="483">
        <f>Q88/(Q89-1)*(R89-1)</f>
        <v>3.06666666666667</v>
      </c>
      <c r="S88" s="483">
        <f>R88/(R89-1)*(S89-1)</f>
        <v>3.22</v>
      </c>
      <c r="T88" s="483">
        <f>S88/(S89-1)*(T89-1)</f>
        <v>3.37333333333333</v>
      </c>
      <c r="U88" s="483">
        <f>T88/(T89-1)*(U89-1)</f>
        <v>3.52666666666667</v>
      </c>
      <c r="V88" s="483">
        <f>U88/(U89-1)*(V89-1)</f>
        <v>3.68</v>
      </c>
      <c r="W88" s="483">
        <f>V88/(V89-1)*(W89-1)</f>
        <v>3.83333333333333</v>
      </c>
      <c r="X88" s="483">
        <f>W88/(W89-1)*(X89-1)</f>
        <v>3.98666666666667</v>
      </c>
      <c r="Y88" s="483">
        <f>X88/(X89-1)*(Y89-1)</f>
        <v>4.14</v>
      </c>
      <c r="Z88" s="483">
        <f>Y88/(Y89-1)*(Z89-1)</f>
        <v>4.29333333333334</v>
      </c>
      <c r="AA88" s="483">
        <f>Z88/(Z89-1)*(AA89-1)</f>
        <v>4.44666666666667</v>
      </c>
      <c r="AB88" s="483">
        <f>AA88/(AA89-1)*(AB89-1)</f>
        <v>4.6</v>
      </c>
      <c r="AC88" s="483">
        <f>AB88/(AB89-1)*(AC89-1)</f>
        <v>4.75333333333334</v>
      </c>
      <c r="AD88" s="483">
        <f>AC88/(AC89-1)*(AD89-1)</f>
        <v>4.90666666666667</v>
      </c>
      <c r="AE88" s="483">
        <f>AD88/(AD89-1)*(AE89-1)</f>
        <v>5.06</v>
      </c>
      <c r="AF88" s="483">
        <f>AE88/(AE89-1)*(AF89-1)</f>
        <v>5.21333333333334</v>
      </c>
      <c r="AG88" s="483">
        <f>AF88/(AF89-1)*(AG89-1)</f>
        <v>5.36666666666667</v>
      </c>
      <c r="AH88" s="483">
        <f>AG88/(AG89-1)*(AH89-1)</f>
        <v>5.52</v>
      </c>
      <c r="AI88" s="483">
        <f>AH88/(AH89-1)*(AI89-1)</f>
        <v>5.67333333333334</v>
      </c>
      <c r="AJ88" s="483">
        <f>AI88/(AI89-1)*(AJ89-1)</f>
        <v>5.82666666666667</v>
      </c>
      <c r="AK88" s="483">
        <f>AJ88/(AJ89-1)*(AK89-1)</f>
        <v>5.98</v>
      </c>
      <c r="AL88" s="570" t="s"/>
      <c r="AM88" s="570" t="s"/>
      <c r="AN88" s="570" t="s"/>
      <c r="AO88" s="570" t="s"/>
      <c r="AP88" s="570" t="s"/>
      <c r="AQ88" s="570" t="s"/>
      <c r="AR88" s="570" t="s"/>
      <c r="AS88" s="570" t="s"/>
      <c r="AT88" s="570" t="s"/>
    </row>
    <row r="89" spans="1:46" ht="18" customHeight="1">
      <c r="A89" s="104" t="s"/>
      <c r="B89" s="535" t="s"/>
      <c r="C89" s="525" t="s">
        <v>395</v>
      </c>
      <c r="D89" s="571">
        <v>7</v>
      </c>
      <c r="E89" s="571">
        <v>8</v>
      </c>
      <c r="F89" s="571">
        <v>9</v>
      </c>
      <c r="G89" s="571">
        <v>10</v>
      </c>
      <c r="H89" s="571">
        <v>11</v>
      </c>
      <c r="I89" s="571">
        <v>12</v>
      </c>
      <c r="J89" s="571">
        <v>13</v>
      </c>
      <c r="K89" s="571">
        <v>14</v>
      </c>
      <c r="L89" s="571">
        <v>15</v>
      </c>
      <c r="M89" s="571">
        <v>16</v>
      </c>
      <c r="N89" s="571">
        <v>17</v>
      </c>
      <c r="O89" s="571">
        <v>18</v>
      </c>
      <c r="P89" s="571">
        <v>19</v>
      </c>
      <c r="Q89" s="571">
        <v>20</v>
      </c>
      <c r="R89" s="571">
        <v>21</v>
      </c>
      <c r="S89" s="571">
        <v>22</v>
      </c>
      <c r="T89" s="571">
        <v>23</v>
      </c>
      <c r="U89" s="571">
        <v>24</v>
      </c>
      <c r="V89" s="571">
        <v>25</v>
      </c>
      <c r="W89" s="558">
        <v>26</v>
      </c>
      <c r="X89" s="558">
        <v>27</v>
      </c>
      <c r="Y89" s="558">
        <v>28</v>
      </c>
      <c r="Z89" s="558">
        <v>29</v>
      </c>
      <c r="AA89" s="558">
        <v>30</v>
      </c>
      <c r="AB89" s="558">
        <v>31</v>
      </c>
      <c r="AC89" s="558">
        <v>32</v>
      </c>
      <c r="AD89" s="558">
        <v>33</v>
      </c>
      <c r="AE89" s="558">
        <v>34</v>
      </c>
      <c r="AF89" s="558">
        <v>35</v>
      </c>
      <c r="AG89" s="558">
        <v>36</v>
      </c>
      <c r="AH89" s="558">
        <v>37</v>
      </c>
      <c r="AI89" s="558">
        <v>38</v>
      </c>
      <c r="AJ89" s="558">
        <v>39</v>
      </c>
      <c r="AK89" s="558">
        <v>40</v>
      </c>
      <c r="AL89" s="524" t="s"/>
      <c r="AM89" s="524" t="s"/>
      <c r="AN89" s="524" t="s"/>
      <c r="AO89" s="524" t="s"/>
      <c r="AP89" s="524" t="s"/>
      <c r="AQ89" s="524" t="s"/>
      <c r="AR89" s="524" t="s"/>
      <c r="AS89" s="524" t="s"/>
      <c r="AT89" s="524" t="s"/>
    </row>
    <row r="90" spans="1:46" ht="18" customHeight="1">
      <c r="A90" s="104" t="s"/>
      <c r="B90" s="531" t="s">
        <v>425</v>
      </c>
      <c r="C90" s="525" t="s">
        <v>393</v>
      </c>
      <c r="D90" s="568">
        <v>1</v>
      </c>
      <c r="E90" s="568">
        <v>0.9167</v>
      </c>
      <c r="F90" s="568">
        <v>0.8462</v>
      </c>
      <c r="G90" s="568">
        <v>0.7857</v>
      </c>
      <c r="H90" s="568">
        <v>0.7333</v>
      </c>
      <c r="I90" s="568">
        <v>0.6875</v>
      </c>
      <c r="J90" s="568">
        <v>0.6471</v>
      </c>
      <c r="K90" s="568">
        <v>0.6111</v>
      </c>
      <c r="L90" s="568">
        <v>0.5789</v>
      </c>
      <c r="M90" s="568">
        <v>0.55</v>
      </c>
      <c r="N90" s="568">
        <v>0.5238</v>
      </c>
      <c r="O90" s="568">
        <v>0.5</v>
      </c>
      <c r="P90" s="568">
        <v>0.4783</v>
      </c>
      <c r="Q90" s="568">
        <v>0.4583</v>
      </c>
      <c r="R90" s="568">
        <v>0.44</v>
      </c>
      <c r="S90" s="568">
        <v>0.4231</v>
      </c>
      <c r="T90" s="568">
        <v>0.4074</v>
      </c>
      <c r="U90" s="568">
        <v>0.3929</v>
      </c>
      <c r="V90" s="572" t="s"/>
      <c r="W90" s="524" t="s"/>
      <c r="X90" s="524" t="s"/>
      <c r="Y90" s="524" t="s"/>
      <c r="Z90" s="524" t="s"/>
      <c r="AA90" s="524" t="s"/>
      <c r="AB90" s="524" t="s"/>
      <c r="AC90" s="524" t="s"/>
      <c r="AD90" s="524" t="s"/>
      <c r="AE90" s="524" t="s"/>
      <c r="AF90" s="524" t="s"/>
      <c r="AG90" s="524" t="s"/>
      <c r="AH90" s="524" t="s"/>
      <c r="AI90" s="524" t="s"/>
      <c r="AJ90" s="524" t="s"/>
      <c r="AK90" s="524" t="s"/>
      <c r="AL90" s="524" t="s"/>
      <c r="AM90" s="524" t="s"/>
      <c r="AN90" s="524" t="s"/>
      <c r="AO90" s="524" t="s"/>
      <c r="AP90" s="524" t="s"/>
      <c r="AQ90" s="524" t="s"/>
      <c r="AR90" s="524" t="s"/>
      <c r="AS90" s="524" t="s"/>
      <c r="AT90" s="524" t="s"/>
    </row>
    <row r="91" spans="1:46" ht="18" customHeight="1">
      <c r="A91" s="104" t="s"/>
      <c r="B91" s="535" t="s"/>
      <c r="C91" s="525" t="s">
        <v>394</v>
      </c>
      <c r="D91" s="569">
        <v>1</v>
      </c>
      <c r="E91" s="569">
        <v>1.1</v>
      </c>
      <c r="F91" s="569">
        <v>1.2</v>
      </c>
      <c r="G91" s="569">
        <v>1.3</v>
      </c>
      <c r="H91" s="569">
        <v>1.4</v>
      </c>
      <c r="I91" s="569">
        <v>1.5</v>
      </c>
      <c r="J91" s="569">
        <v>1.6</v>
      </c>
      <c r="K91" s="569">
        <v>1.7</v>
      </c>
      <c r="L91" s="569">
        <v>1.8</v>
      </c>
      <c r="M91" s="569">
        <v>1.9</v>
      </c>
      <c r="N91" s="569">
        <v>2</v>
      </c>
      <c r="O91" s="569">
        <v>2.1</v>
      </c>
      <c r="P91" s="569">
        <v>2.2</v>
      </c>
      <c r="Q91" s="569">
        <v>2.3</v>
      </c>
      <c r="R91" s="569">
        <v>2.4</v>
      </c>
      <c r="S91" s="569">
        <v>2.5</v>
      </c>
      <c r="T91" s="569">
        <v>2.6</v>
      </c>
      <c r="U91" s="569">
        <v>2.7</v>
      </c>
      <c r="V91" s="572" t="s"/>
      <c r="W91" s="524" t="s"/>
      <c r="X91" s="524" t="s"/>
      <c r="Y91" s="524" t="s"/>
      <c r="Z91" s="524" t="s"/>
      <c r="AA91" s="524" t="s"/>
      <c r="AB91" s="524" t="s"/>
      <c r="AC91" s="524" t="s"/>
      <c r="AD91" s="524" t="s"/>
      <c r="AE91" s="524" t="s"/>
      <c r="AF91" s="524" t="s"/>
      <c r="AG91" s="524" t="s"/>
      <c r="AH91" s="524" t="s"/>
      <c r="AI91" s="524" t="s"/>
      <c r="AJ91" s="524" t="s"/>
      <c r="AK91" s="524" t="s"/>
      <c r="AL91" s="524" t="s"/>
      <c r="AM91" s="524" t="s"/>
      <c r="AN91" s="524" t="s"/>
      <c r="AO91" s="524" t="s"/>
      <c r="AP91" s="524" t="s"/>
      <c r="AQ91" s="524" t="s"/>
      <c r="AR91" s="524" t="s"/>
      <c r="AS91" s="524" t="s"/>
      <c r="AT91" s="524" t="s"/>
    </row>
    <row r="92" spans="1:46" ht="18" customHeight="1">
      <c r="A92" s="107" t="s"/>
      <c r="B92" s="535" t="s"/>
      <c r="C92" s="525" t="s">
        <v>395</v>
      </c>
      <c r="D92" s="571">
        <v>11</v>
      </c>
      <c r="E92" s="571">
        <v>12</v>
      </c>
      <c r="F92" s="571">
        <v>13</v>
      </c>
      <c r="G92" s="571">
        <v>14</v>
      </c>
      <c r="H92" s="571">
        <v>15</v>
      </c>
      <c r="I92" s="571">
        <v>16</v>
      </c>
      <c r="J92" s="571">
        <v>17</v>
      </c>
      <c r="K92" s="571">
        <v>18</v>
      </c>
      <c r="L92" s="571">
        <v>19</v>
      </c>
      <c r="M92" s="571">
        <v>20</v>
      </c>
      <c r="N92" s="571">
        <v>21</v>
      </c>
      <c r="O92" s="571">
        <v>22</v>
      </c>
      <c r="P92" s="571">
        <v>23</v>
      </c>
      <c r="Q92" s="571">
        <v>24</v>
      </c>
      <c r="R92" s="571">
        <v>25</v>
      </c>
      <c r="S92" s="571">
        <v>26</v>
      </c>
      <c r="T92" s="571">
        <v>27</v>
      </c>
      <c r="U92" s="571">
        <v>28</v>
      </c>
      <c r="V92" s="572" t="s"/>
      <c r="W92" s="524" t="s"/>
      <c r="X92" s="524" t="s"/>
      <c r="Y92" s="524" t="s"/>
      <c r="Z92" s="524" t="s"/>
      <c r="AA92" s="524" t="s"/>
      <c r="AB92" s="524" t="s"/>
      <c r="AC92" s="524" t="s"/>
      <c r="AD92" s="524" t="s"/>
      <c r="AE92" s="524" t="s"/>
      <c r="AF92" s="524" t="s"/>
      <c r="AG92" s="524" t="s"/>
      <c r="AH92" s="524" t="s"/>
      <c r="AI92" s="524" t="s"/>
      <c r="AJ92" s="524" t="s"/>
      <c r="AK92" s="524" t="s"/>
      <c r="AL92" s="524" t="s"/>
      <c r="AM92" s="524" t="s"/>
      <c r="AN92" s="524" t="s"/>
      <c r="AO92" s="524" t="s"/>
      <c r="AP92" s="524" t="s"/>
      <c r="AQ92" s="524" t="s"/>
      <c r="AR92" s="524" t="s"/>
      <c r="AS92" s="524" t="s"/>
      <c r="AT92" s="524" t="s"/>
    </row>
    <row r="93" spans="1:46" ht="18" customHeight="1">
      <c r="A93" s="573" t="s">
        <v>327</v>
      </c>
      <c r="B93" s="489" t="s">
        <v>426</v>
      </c>
      <c r="C93" s="490" t="s">
        <v>393</v>
      </c>
      <c r="D93" s="501">
        <v>1</v>
      </c>
      <c r="E93" s="501">
        <f>3/E95</f>
        <v>0.75</v>
      </c>
      <c r="F93" s="501">
        <f>3/F95</f>
        <v>0.6</v>
      </c>
      <c r="G93" s="501">
        <f>3/G95</f>
        <v>0.5</v>
      </c>
      <c r="H93" s="501">
        <f>3/H95</f>
        <v>0.428571428571429</v>
      </c>
      <c r="I93" s="495">
        <f>3/I95</f>
        <v>0.375</v>
      </c>
      <c r="J93" s="495">
        <f>3/J95</f>
        <v>0.333333333333333</v>
      </c>
      <c r="K93" s="495">
        <f>3/K95</f>
        <v>0.3</v>
      </c>
      <c r="L93" s="495">
        <f>3/L95</f>
        <v>0.272727272727273</v>
      </c>
      <c r="M93" s="495">
        <f>3/M95</f>
        <v>0.25</v>
      </c>
      <c r="N93" s="574" t="s"/>
      <c r="O93" s="575" t="s"/>
      <c r="P93" s="576" t="s"/>
      <c r="Q93" s="576" t="s"/>
      <c r="R93" s="576" t="s"/>
      <c r="S93" s="576" t="s"/>
      <c r="T93" s="576" t="s"/>
      <c r="U93" s="576" t="s"/>
      <c r="V93" s="576" t="s"/>
      <c r="W93" s="497" t="s"/>
      <c r="X93" s="497" t="s"/>
      <c r="Y93" s="497" t="s"/>
      <c r="Z93" s="497" t="s"/>
      <c r="AA93" s="497" t="s"/>
      <c r="AB93" s="497" t="s"/>
      <c r="AC93" s="497" t="s"/>
      <c r="AD93" s="497" t="s"/>
      <c r="AE93" s="497" t="s"/>
      <c r="AF93" s="497" t="s"/>
      <c r="AG93" s="497" t="s"/>
      <c r="AH93" s="497" t="s"/>
      <c r="AI93" s="497" t="s"/>
      <c r="AJ93" s="497" t="s"/>
      <c r="AK93" s="497" t="s"/>
      <c r="AL93" s="497" t="s"/>
      <c r="AM93" s="497" t="s"/>
      <c r="AN93" s="497" t="s"/>
      <c r="AO93" s="497" t="s"/>
      <c r="AP93" s="497" t="s"/>
      <c r="AQ93" s="497" t="s"/>
      <c r="AR93" s="497" t="s"/>
      <c r="AS93" s="497" t="s"/>
      <c r="AT93" s="497" t="s"/>
    </row>
    <row r="94" spans="1:46" ht="18" customHeight="1">
      <c r="A94" s="45" t="s"/>
      <c r="B94" s="292" t="s"/>
      <c r="C94" s="490" t="s">
        <v>394</v>
      </c>
      <c r="D94" s="505">
        <v>1.15</v>
      </c>
      <c r="E94" s="505">
        <f>D94/(D95-1)*(E95-1)</f>
        <v>1.725</v>
      </c>
      <c r="F94" s="505">
        <f>E94/(E95-1)*(F95-1)</f>
        <v>2.3</v>
      </c>
      <c r="G94" s="505">
        <f>F94/(F95-1)*(G95-1)</f>
        <v>2.875</v>
      </c>
      <c r="H94" s="505">
        <f>G94/(G95-1)*(H95-1)</f>
        <v>3.45</v>
      </c>
      <c r="I94" s="483">
        <f>H94/(H95-1)*(I95-1)</f>
        <v>4.025</v>
      </c>
      <c r="J94" s="483">
        <f>I94/(I95-1)*(J95-1)</f>
        <v>4.6</v>
      </c>
      <c r="K94" s="483">
        <f>J94/(J95-1)*(K95-1)</f>
        <v>5.175</v>
      </c>
      <c r="L94" s="483">
        <f>K94/(K95-1)*(L95-1)</f>
        <v>5.75</v>
      </c>
      <c r="M94" s="483">
        <f>L94/(L95-1)*(M95-1)</f>
        <v>6.325</v>
      </c>
      <c r="N94" s="574" t="s"/>
      <c r="O94" s="575" t="s"/>
      <c r="P94" s="576" t="s"/>
      <c r="Q94" s="576" t="s"/>
      <c r="R94" s="576" t="s"/>
      <c r="S94" s="576" t="s"/>
      <c r="T94" s="576" t="s"/>
      <c r="U94" s="576" t="s"/>
      <c r="V94" s="576" t="s"/>
      <c r="W94" s="497" t="s"/>
      <c r="X94" s="497" t="s"/>
      <c r="Y94" s="497" t="s"/>
      <c r="Z94" s="497" t="s"/>
      <c r="AA94" s="497" t="s"/>
      <c r="AB94" s="497" t="s"/>
      <c r="AC94" s="497" t="s"/>
      <c r="AD94" s="497" t="s"/>
      <c r="AE94" s="497" t="s"/>
      <c r="AF94" s="497" t="s"/>
      <c r="AG94" s="497" t="s"/>
      <c r="AH94" s="497" t="s"/>
      <c r="AI94" s="497" t="s"/>
      <c r="AJ94" s="497" t="s"/>
      <c r="AK94" s="497" t="s"/>
      <c r="AL94" s="497" t="s"/>
      <c r="AM94" s="497" t="s"/>
      <c r="AN94" s="497" t="s"/>
      <c r="AO94" s="497" t="s"/>
      <c r="AP94" s="497" t="s"/>
      <c r="AQ94" s="497" t="s"/>
      <c r="AR94" s="497" t="s"/>
      <c r="AS94" s="497" t="s"/>
      <c r="AT94" s="497" t="s"/>
    </row>
    <row r="95" spans="1:46" ht="18" customHeight="1">
      <c r="A95" s="45" t="s"/>
      <c r="B95" s="292" t="s"/>
      <c r="C95" s="490" t="s">
        <v>395</v>
      </c>
      <c r="D95" s="490">
        <v>3</v>
      </c>
      <c r="E95" s="490">
        <v>4</v>
      </c>
      <c r="F95" s="490">
        <v>5</v>
      </c>
      <c r="G95" s="490">
        <v>6</v>
      </c>
      <c r="H95" s="490">
        <v>7</v>
      </c>
      <c r="I95" s="482">
        <v>8</v>
      </c>
      <c r="J95" s="482">
        <v>9</v>
      </c>
      <c r="K95" s="482">
        <v>10</v>
      </c>
      <c r="L95" s="482">
        <v>11</v>
      </c>
      <c r="M95" s="482">
        <v>12</v>
      </c>
      <c r="N95" s="574" t="s"/>
      <c r="O95" s="575" t="s"/>
      <c r="P95" s="576" t="s"/>
      <c r="Q95" s="576" t="s"/>
      <c r="R95" s="576" t="s"/>
      <c r="S95" s="576" t="s"/>
      <c r="T95" s="576" t="s"/>
      <c r="U95" s="576" t="s"/>
      <c r="V95" s="576" t="s"/>
      <c r="W95" s="497" t="s"/>
      <c r="X95" s="497" t="s"/>
      <c r="Y95" s="497" t="s"/>
      <c r="Z95" s="497" t="s"/>
      <c r="AA95" s="497" t="s"/>
      <c r="AB95" s="497" t="s"/>
      <c r="AC95" s="497" t="s"/>
      <c r="AD95" s="497" t="s"/>
      <c r="AE95" s="497" t="s"/>
      <c r="AF95" s="497" t="s"/>
      <c r="AG95" s="497" t="s"/>
      <c r="AH95" s="497" t="s"/>
      <c r="AI95" s="497" t="s"/>
      <c r="AJ95" s="497" t="s"/>
      <c r="AK95" s="497" t="s"/>
      <c r="AL95" s="497" t="s"/>
      <c r="AM95" s="497" t="s"/>
      <c r="AN95" s="497" t="s"/>
      <c r="AO95" s="497" t="s"/>
      <c r="AP95" s="497" t="s"/>
      <c r="AQ95" s="497" t="s"/>
      <c r="AR95" s="497" t="s"/>
      <c r="AS95" s="497" t="s"/>
      <c r="AT95" s="497" t="s"/>
    </row>
    <row r="96" spans="1:46" ht="18" customHeight="1">
      <c r="A96" s="45" t="s"/>
      <c r="B96" s="489" t="s">
        <v>427</v>
      </c>
      <c r="C96" s="490" t="s">
        <v>393</v>
      </c>
      <c r="D96" s="501">
        <v>1</v>
      </c>
      <c r="E96" s="501">
        <f>6/E98</f>
        <v>0.857142857142857</v>
      </c>
      <c r="F96" s="501">
        <f>6/F98</f>
        <v>0.75</v>
      </c>
      <c r="G96" s="501">
        <f>6/G98</f>
        <v>0.666666666666667</v>
      </c>
      <c r="H96" s="501">
        <f>6/H98</f>
        <v>0.6</v>
      </c>
      <c r="I96" s="495">
        <f>6/I98</f>
        <v>0.545454545454546</v>
      </c>
      <c r="J96" s="495">
        <f>6/J98</f>
        <v>0.5</v>
      </c>
      <c r="K96" s="495">
        <f>6/K98</f>
        <v>0.461538461538462</v>
      </c>
      <c r="L96" s="495">
        <f>6/L98</f>
        <v>0.428571428571429</v>
      </c>
      <c r="M96" s="495">
        <f>6/M98</f>
        <v>0.4</v>
      </c>
      <c r="N96" s="495">
        <f>6/N98</f>
        <v>0.375</v>
      </c>
      <c r="O96" s="495">
        <f>6/O98</f>
        <v>0.352941176470588</v>
      </c>
      <c r="P96" s="495">
        <f>6/P98</f>
        <v>0.333333333333333</v>
      </c>
      <c r="Q96" s="495">
        <f>6/Q98</f>
        <v>0.315789473684211</v>
      </c>
      <c r="R96" s="495">
        <f>6/R98</f>
        <v>0.3</v>
      </c>
      <c r="S96" s="576" t="s"/>
      <c r="T96" s="576" t="s"/>
      <c r="U96" s="576" t="s"/>
      <c r="V96" s="576" t="s"/>
      <c r="W96" s="497" t="s"/>
      <c r="X96" s="497" t="s"/>
      <c r="Y96" s="497" t="s"/>
      <c r="Z96" s="497" t="s"/>
      <c r="AA96" s="497" t="s"/>
      <c r="AB96" s="497" t="s"/>
      <c r="AC96" s="497" t="s"/>
      <c r="AD96" s="497" t="s"/>
      <c r="AE96" s="497" t="s"/>
      <c r="AF96" s="497" t="s"/>
      <c r="AG96" s="497" t="s"/>
      <c r="AH96" s="497" t="s"/>
      <c r="AI96" s="497" t="s"/>
      <c r="AJ96" s="497" t="s"/>
      <c r="AK96" s="497" t="s"/>
      <c r="AL96" s="497" t="s"/>
      <c r="AM96" s="497" t="s"/>
      <c r="AN96" s="497" t="s"/>
      <c r="AO96" s="497" t="s"/>
      <c r="AP96" s="497" t="s"/>
      <c r="AQ96" s="497" t="s"/>
      <c r="AR96" s="497" t="s"/>
      <c r="AS96" s="497" t="s"/>
      <c r="AT96" s="497" t="s"/>
    </row>
    <row r="97" spans="1:46" ht="18" customHeight="1">
      <c r="A97" s="45" t="s"/>
      <c r="B97" s="292" t="s"/>
      <c r="C97" s="490" t="s">
        <v>394</v>
      </c>
      <c r="D97" s="505">
        <v>1.15</v>
      </c>
      <c r="E97" s="505">
        <f>D97/(D98-1)*(E98-1)</f>
        <v>1.38</v>
      </c>
      <c r="F97" s="505">
        <f>E97/(E98-1)*(F98-1)</f>
        <v>1.61</v>
      </c>
      <c r="G97" s="505">
        <f>F97/(F98-1)*(G98-1)</f>
        <v>1.84</v>
      </c>
      <c r="H97" s="505">
        <f>G97/(G98-1)*(H98-1)</f>
        <v>2.07</v>
      </c>
      <c r="I97" s="483">
        <f>H97/(H98-1)*(I98-1)</f>
        <v>2.3</v>
      </c>
      <c r="J97" s="483">
        <f>I97/(I98-1)*(J98-1)</f>
        <v>2.53</v>
      </c>
      <c r="K97" s="483">
        <f>J97/(J98-1)*(K98-1)</f>
        <v>2.76</v>
      </c>
      <c r="L97" s="483">
        <f>K97/(K98-1)*(L98-1)</f>
        <v>2.99</v>
      </c>
      <c r="M97" s="483">
        <f>L97/(L98-1)*(M98-1)</f>
        <v>3.22</v>
      </c>
      <c r="N97" s="483">
        <f>M97/(M98-1)*(N98-1)</f>
        <v>3.45</v>
      </c>
      <c r="O97" s="483">
        <f>N97/(N98-1)*(O98-1)</f>
        <v>3.68</v>
      </c>
      <c r="P97" s="483">
        <f>O97/(O98-1)*(P98-1)</f>
        <v>3.91</v>
      </c>
      <c r="Q97" s="483">
        <f>P97/(P98-1)*(Q98-1)</f>
        <v>4.14</v>
      </c>
      <c r="R97" s="483">
        <f>Q97/(Q98-1)*(R98-1)</f>
        <v>4.37</v>
      </c>
      <c r="S97" s="576" t="s"/>
      <c r="T97" s="576" t="s"/>
      <c r="U97" s="576" t="s"/>
      <c r="V97" s="576" t="s"/>
      <c r="W97" s="497" t="s"/>
      <c r="X97" s="497" t="s"/>
      <c r="Y97" s="497" t="s"/>
      <c r="Z97" s="497" t="s"/>
      <c r="AA97" s="497" t="s"/>
      <c r="AB97" s="497" t="s"/>
      <c r="AC97" s="497" t="s"/>
      <c r="AD97" s="497" t="s"/>
      <c r="AE97" s="497" t="s"/>
      <c r="AF97" s="497" t="s"/>
      <c r="AG97" s="497" t="s"/>
      <c r="AH97" s="497" t="s"/>
      <c r="AI97" s="497" t="s"/>
      <c r="AJ97" s="497" t="s"/>
      <c r="AK97" s="497" t="s"/>
      <c r="AL97" s="497" t="s"/>
      <c r="AM97" s="497" t="s"/>
      <c r="AN97" s="497" t="s"/>
      <c r="AO97" s="497" t="s"/>
      <c r="AP97" s="497" t="s"/>
      <c r="AQ97" s="497" t="s"/>
      <c r="AR97" s="497" t="s"/>
      <c r="AS97" s="497" t="s"/>
      <c r="AT97" s="497" t="s"/>
    </row>
    <row r="98" spans="1:46" ht="18" customHeight="1">
      <c r="A98" s="45" t="s"/>
      <c r="B98" s="292" t="s"/>
      <c r="C98" s="490" t="s">
        <v>395</v>
      </c>
      <c r="D98" s="490">
        <v>6</v>
      </c>
      <c r="E98" s="490">
        <v>7</v>
      </c>
      <c r="F98" s="490">
        <v>8</v>
      </c>
      <c r="G98" s="490">
        <v>9</v>
      </c>
      <c r="H98" s="490">
        <v>10</v>
      </c>
      <c r="I98" s="482">
        <v>11</v>
      </c>
      <c r="J98" s="482">
        <v>12</v>
      </c>
      <c r="K98" s="482">
        <v>13</v>
      </c>
      <c r="L98" s="482">
        <v>14</v>
      </c>
      <c r="M98" s="482">
        <v>15</v>
      </c>
      <c r="N98" s="482">
        <v>16</v>
      </c>
      <c r="O98" s="482">
        <v>17</v>
      </c>
      <c r="P98" s="482">
        <v>18</v>
      </c>
      <c r="Q98" s="482">
        <v>19</v>
      </c>
      <c r="R98" s="482">
        <v>20</v>
      </c>
      <c r="S98" s="576" t="s"/>
      <c r="T98" s="576" t="s"/>
      <c r="U98" s="576" t="s"/>
      <c r="V98" s="576" t="s"/>
      <c r="W98" s="497" t="s"/>
      <c r="X98" s="497" t="s"/>
      <c r="Y98" s="497" t="s"/>
      <c r="Z98" s="497" t="s"/>
      <c r="AA98" s="497" t="s"/>
      <c r="AB98" s="497" t="s"/>
      <c r="AC98" s="497" t="s"/>
      <c r="AD98" s="497" t="s"/>
      <c r="AE98" s="497" t="s"/>
      <c r="AF98" s="497" t="s"/>
      <c r="AG98" s="497" t="s"/>
      <c r="AH98" s="497" t="s"/>
      <c r="AI98" s="497" t="s"/>
      <c r="AJ98" s="497" t="s"/>
      <c r="AK98" s="497" t="s"/>
      <c r="AL98" s="497" t="s"/>
      <c r="AM98" s="497" t="s"/>
      <c r="AN98" s="497" t="s"/>
      <c r="AO98" s="497" t="s"/>
      <c r="AP98" s="497" t="s"/>
      <c r="AQ98" s="497" t="s"/>
      <c r="AR98" s="497" t="s"/>
      <c r="AS98" s="497" t="s"/>
      <c r="AT98" s="497" t="s"/>
    </row>
    <row r="99" spans="1:46" ht="18" customHeight="1">
      <c r="A99" s="45" t="s"/>
      <c r="B99" s="489" t="s">
        <v>428</v>
      </c>
      <c r="C99" s="490" t="s">
        <v>393</v>
      </c>
      <c r="D99" s="501">
        <v>1</v>
      </c>
      <c r="E99" s="501">
        <f>5/E101</f>
        <v>0.833333333333334</v>
      </c>
      <c r="F99" s="501">
        <f>5/F101</f>
        <v>0.714285714285714</v>
      </c>
      <c r="G99" s="501">
        <f>5/G101</f>
        <v>0.625</v>
      </c>
      <c r="H99" s="501">
        <f>5/H101</f>
        <v>0.555555555555556</v>
      </c>
      <c r="I99" s="495">
        <f>5/I101</f>
        <v>0.5</v>
      </c>
      <c r="J99" s="576" t="s"/>
      <c r="K99" s="574" t="s"/>
      <c r="L99" s="574" t="s"/>
      <c r="M99" s="574" t="s"/>
      <c r="N99" s="574" t="s"/>
      <c r="O99" s="575" t="s"/>
      <c r="P99" s="576" t="s"/>
      <c r="Q99" s="576" t="s"/>
      <c r="R99" s="576" t="s"/>
      <c r="S99" s="576" t="s"/>
      <c r="T99" s="576" t="s"/>
      <c r="U99" s="576" t="s"/>
      <c r="V99" s="496" t="s"/>
      <c r="W99" s="497" t="s"/>
      <c r="X99" s="497" t="s"/>
      <c r="Y99" s="497" t="s"/>
      <c r="Z99" s="497" t="s"/>
      <c r="AA99" s="497" t="s"/>
      <c r="AB99" s="497" t="s"/>
      <c r="AC99" s="497" t="s"/>
      <c r="AD99" s="497" t="s"/>
      <c r="AE99" s="497" t="s"/>
      <c r="AF99" s="497" t="s"/>
      <c r="AG99" s="497" t="s"/>
      <c r="AH99" s="497" t="s"/>
      <c r="AI99" s="497" t="s"/>
      <c r="AJ99" s="497" t="s"/>
      <c r="AK99" s="497" t="s"/>
      <c r="AL99" s="497" t="s"/>
      <c r="AM99" s="497" t="s"/>
      <c r="AN99" s="497" t="s"/>
      <c r="AO99" s="497" t="s"/>
      <c r="AP99" s="497" t="s"/>
      <c r="AQ99" s="497" t="s"/>
      <c r="AR99" s="497" t="s"/>
      <c r="AS99" s="497" t="s"/>
      <c r="AT99" s="497" t="s"/>
    </row>
    <row r="100" spans="1:46" ht="18" customHeight="1">
      <c r="A100" s="45" t="s"/>
      <c r="B100" s="292" t="s"/>
      <c r="C100" s="490" t="s">
        <v>394</v>
      </c>
      <c r="D100" s="505">
        <v>1.72</v>
      </c>
      <c r="E100" s="505">
        <f>D100/(D101-1)*(E101-1)</f>
        <v>2.15</v>
      </c>
      <c r="F100" s="505">
        <f>E100/(E101-1)*(F101-1)</f>
        <v>2.58</v>
      </c>
      <c r="G100" s="505">
        <f>F100/(F101-1)*(G101-1)</f>
        <v>3.01</v>
      </c>
      <c r="H100" s="505">
        <f>G100/(G101-1)*(H101-1)</f>
        <v>3.44</v>
      </c>
      <c r="I100" s="483">
        <f>H100/(H101-1)*(I101-1)</f>
        <v>3.87</v>
      </c>
      <c r="J100" s="576" t="s"/>
      <c r="K100" s="574" t="s"/>
      <c r="L100" s="574" t="s"/>
      <c r="M100" s="574" t="s"/>
      <c r="N100" s="574" t="s"/>
      <c r="O100" s="575" t="s"/>
      <c r="P100" s="576" t="s"/>
      <c r="Q100" s="576" t="s"/>
      <c r="R100" s="576" t="s"/>
      <c r="S100" s="576" t="s"/>
      <c r="T100" s="576" t="s"/>
      <c r="U100" s="576" t="s"/>
      <c r="V100" s="496" t="s"/>
      <c r="W100" s="497" t="s"/>
      <c r="X100" s="497" t="s"/>
      <c r="Y100" s="497" t="s"/>
      <c r="Z100" s="497" t="s"/>
      <c r="AA100" s="497" t="s"/>
      <c r="AB100" s="497" t="s"/>
      <c r="AC100" s="497" t="s"/>
      <c r="AD100" s="497" t="s"/>
      <c r="AE100" s="497" t="s"/>
      <c r="AF100" s="497" t="s"/>
      <c r="AG100" s="497" t="s"/>
      <c r="AH100" s="497" t="s"/>
      <c r="AI100" s="497" t="s"/>
      <c r="AJ100" s="497" t="s"/>
      <c r="AK100" s="497" t="s"/>
      <c r="AL100" s="497" t="s"/>
      <c r="AM100" s="497" t="s"/>
      <c r="AN100" s="497" t="s"/>
      <c r="AO100" s="497" t="s"/>
      <c r="AP100" s="497" t="s"/>
      <c r="AQ100" s="497" t="s"/>
      <c r="AR100" s="497" t="s"/>
      <c r="AS100" s="497" t="s"/>
      <c r="AT100" s="497" t="s"/>
    </row>
    <row r="101" spans="1:46" ht="18" customHeight="1">
      <c r="A101" s="45" t="s"/>
      <c r="B101" s="292" t="s"/>
      <c r="C101" s="490" t="s">
        <v>395</v>
      </c>
      <c r="D101" s="490">
        <v>5</v>
      </c>
      <c r="E101" s="490">
        <v>6</v>
      </c>
      <c r="F101" s="490">
        <v>7</v>
      </c>
      <c r="G101" s="490">
        <v>8</v>
      </c>
      <c r="H101" s="490">
        <v>9</v>
      </c>
      <c r="I101" s="482">
        <v>10</v>
      </c>
      <c r="J101" s="576" t="s"/>
      <c r="K101" s="574" t="s"/>
      <c r="L101" s="574" t="s"/>
      <c r="M101" s="574" t="s"/>
      <c r="N101" s="574" t="s"/>
      <c r="O101" s="575" t="s"/>
      <c r="P101" s="576" t="s"/>
      <c r="Q101" s="576" t="s"/>
      <c r="R101" s="576" t="s"/>
      <c r="S101" s="576" t="s"/>
      <c r="T101" s="576" t="s"/>
      <c r="U101" s="576" t="s"/>
      <c r="V101" s="496" t="s"/>
      <c r="W101" s="497" t="s"/>
      <c r="X101" s="497" t="s"/>
      <c r="Y101" s="497" t="s"/>
      <c r="Z101" s="497" t="s"/>
      <c r="AA101" s="497" t="s"/>
      <c r="AB101" s="497" t="s"/>
      <c r="AC101" s="497" t="s"/>
      <c r="AD101" s="497" t="s"/>
      <c r="AE101" s="497" t="s"/>
      <c r="AF101" s="497" t="s"/>
      <c r="AG101" s="497" t="s"/>
      <c r="AH101" s="497" t="s"/>
      <c r="AI101" s="497" t="s"/>
      <c r="AJ101" s="497" t="s"/>
      <c r="AK101" s="497" t="s"/>
      <c r="AL101" s="497" t="s"/>
      <c r="AM101" s="497" t="s"/>
      <c r="AN101" s="497" t="s"/>
      <c r="AO101" s="497" t="s"/>
      <c r="AP101" s="497" t="s"/>
      <c r="AQ101" s="497" t="s"/>
      <c r="AR101" s="497" t="s"/>
      <c r="AS101" s="497" t="s"/>
      <c r="AT101" s="497" t="s"/>
    </row>
    <row r="102" spans="1:46" ht="18" customHeight="1">
      <c r="A102" s="45" t="s"/>
      <c r="B102" s="489" t="s">
        <v>429</v>
      </c>
      <c r="C102" s="490" t="s">
        <v>393</v>
      </c>
      <c r="D102" s="501">
        <v>1</v>
      </c>
      <c r="E102" s="501">
        <f>4/E104</f>
        <v>0.8</v>
      </c>
      <c r="F102" s="501">
        <f>4/F104</f>
        <v>0.666666666666667</v>
      </c>
      <c r="G102" s="501">
        <f>4/G104</f>
        <v>0.571428571428572</v>
      </c>
      <c r="H102" s="501">
        <f>4/H104</f>
        <v>0.5</v>
      </c>
      <c r="I102" s="495">
        <f>4/I104</f>
        <v>0.444444444444445</v>
      </c>
      <c r="J102" s="495">
        <f>4/J104</f>
        <v>0.4</v>
      </c>
      <c r="K102" s="495">
        <f>4/K104</f>
        <v>0.363636363636364</v>
      </c>
      <c r="L102" s="495">
        <f>4/L104</f>
        <v>0.333333333333333</v>
      </c>
      <c r="M102" s="495">
        <f>4/M104</f>
        <v>0.307692307692308</v>
      </c>
      <c r="N102" s="495">
        <f>4/N104</f>
        <v>0.285714285714286</v>
      </c>
      <c r="O102" s="495">
        <f>4/O104</f>
        <v>0.266666666666667</v>
      </c>
      <c r="P102" s="495">
        <f>4/P104</f>
        <v>0.25</v>
      </c>
      <c r="Q102" s="495">
        <f>4/Q104</f>
        <v>0.235294117647059</v>
      </c>
      <c r="R102" s="495">
        <f>4/R104</f>
        <v>0.222222222222222</v>
      </c>
      <c r="S102" s="495">
        <f>4/S104</f>
        <v>0.210526315789474</v>
      </c>
      <c r="T102" s="495">
        <f>4/T104</f>
        <v>0.2</v>
      </c>
      <c r="U102" s="495">
        <f>4/U104</f>
        <v>0.190476190476191</v>
      </c>
      <c r="V102" s="495">
        <f>4/V104</f>
        <v>0.181818181818182</v>
      </c>
      <c r="W102" s="495">
        <f>4/W104</f>
        <v>0.173913043478261</v>
      </c>
      <c r="X102" s="495">
        <f>4/X104</f>
        <v>0.166666666666667</v>
      </c>
      <c r="Y102" s="495">
        <f>4/Y104</f>
        <v>0.16</v>
      </c>
      <c r="Z102" s="495">
        <f>4/Z104</f>
        <v>0.153846153846154</v>
      </c>
      <c r="AA102" s="577" t="s"/>
      <c r="AB102" s="577" t="s"/>
      <c r="AC102" s="577" t="s"/>
      <c r="AD102" s="577" t="s"/>
      <c r="AE102" s="577" t="s"/>
      <c r="AF102" s="577" t="s"/>
      <c r="AG102" s="577" t="s"/>
      <c r="AH102" s="577" t="s"/>
      <c r="AI102" s="577" t="s"/>
      <c r="AJ102" s="577" t="s"/>
      <c r="AK102" s="577" t="s"/>
      <c r="AL102" s="577" t="s"/>
      <c r="AM102" s="577" t="s"/>
      <c r="AN102" s="577" t="s"/>
      <c r="AO102" s="577" t="s"/>
      <c r="AP102" s="577" t="s"/>
      <c r="AQ102" s="577" t="s"/>
      <c r="AR102" s="577" t="s"/>
      <c r="AS102" s="577" t="s"/>
      <c r="AT102" s="577" t="s"/>
    </row>
    <row r="103" spans="1:46" ht="18" customHeight="1">
      <c r="A103" s="45" t="s"/>
      <c r="B103" s="292" t="s"/>
      <c r="C103" s="490" t="s">
        <v>394</v>
      </c>
      <c r="D103" s="505">
        <v>2.52</v>
      </c>
      <c r="E103" s="505">
        <f>D103/(D104-1)*(E104-1)</f>
        <v>3.36</v>
      </c>
      <c r="F103" s="505">
        <f>E103/(E104-1)*(F104-1)</f>
        <v>4.2</v>
      </c>
      <c r="G103" s="505">
        <f>F103/(F104-1)*(G104-1)</f>
        <v>5.04</v>
      </c>
      <c r="H103" s="505">
        <f>G103/(G104-1)*(H104-1)</f>
        <v>5.88</v>
      </c>
      <c r="I103" s="483">
        <f>H103/(H104-1)*(I104-1)</f>
        <v>6.72</v>
      </c>
      <c r="J103" s="483">
        <f>I103/(I104-1)*(J104-1)</f>
        <v>7.56</v>
      </c>
      <c r="K103" s="483">
        <f>J103/(J104-1)*(K104-1)</f>
        <v>8.4</v>
      </c>
      <c r="L103" s="483">
        <f>K103/(K104-1)*(L104-1)</f>
        <v>9.24</v>
      </c>
      <c r="M103" s="483">
        <f>L103/(L104-1)*(M104-1)</f>
        <v>10.08</v>
      </c>
      <c r="N103" s="483">
        <f>M103/(M104-1)*(N104-1)</f>
        <v>10.92</v>
      </c>
      <c r="O103" s="483">
        <f>N103/(N104-1)*(O104-1)</f>
        <v>11.76</v>
      </c>
      <c r="P103" s="483">
        <f>O103/(O104-1)*(P104-1)</f>
        <v>12.6</v>
      </c>
      <c r="Q103" s="483">
        <f>P103/(P104-1)*(Q104-1)</f>
        <v>13.44</v>
      </c>
      <c r="R103" s="483">
        <f>Q103/(Q104-1)*(R104-1)</f>
        <v>14.28</v>
      </c>
      <c r="S103" s="483">
        <f>R103/(R104-1)*(S104-1)</f>
        <v>15.12</v>
      </c>
      <c r="T103" s="483">
        <f>S103/(S104-1)*(T104-1)</f>
        <v>15.96</v>
      </c>
      <c r="U103" s="483">
        <f>T103/(T104-1)*(U104-1)</f>
        <v>16.8</v>
      </c>
      <c r="V103" s="483">
        <f>U103/(U104-1)*(V104-1)</f>
        <v>17.64</v>
      </c>
      <c r="W103" s="483">
        <f>V103/(V104-1)*(W104-1)</f>
        <v>18.48</v>
      </c>
      <c r="X103" s="483">
        <f>W103/(W104-1)*(X104-1)</f>
        <v>19.32</v>
      </c>
      <c r="Y103" s="483">
        <f>X103/(X104-1)*(Y104-1)</f>
        <v>20.16</v>
      </c>
      <c r="Z103" s="483">
        <f>Y103/(Y104-1)*(Z104-1)</f>
        <v>21</v>
      </c>
      <c r="AA103" s="570" t="s"/>
      <c r="AB103" s="570" t="s"/>
      <c r="AC103" s="570" t="s"/>
      <c r="AD103" s="570" t="s"/>
      <c r="AE103" s="570" t="s"/>
      <c r="AF103" s="570" t="s"/>
      <c r="AG103" s="570" t="s"/>
      <c r="AH103" s="570" t="s"/>
      <c r="AI103" s="570" t="s"/>
      <c r="AJ103" s="570" t="s"/>
      <c r="AK103" s="570" t="s"/>
      <c r="AL103" s="570" t="s"/>
      <c r="AM103" s="570" t="s"/>
      <c r="AN103" s="570" t="s"/>
      <c r="AO103" s="570" t="s"/>
      <c r="AP103" s="570" t="s"/>
      <c r="AQ103" s="570" t="s"/>
      <c r="AR103" s="570" t="s"/>
      <c r="AS103" s="570" t="s"/>
      <c r="AT103" s="570" t="s"/>
    </row>
    <row r="104" spans="1:46" ht="18" customHeight="1">
      <c r="A104" s="45" t="s"/>
      <c r="B104" s="292" t="s"/>
      <c r="C104" s="490" t="s">
        <v>395</v>
      </c>
      <c r="D104" s="490">
        <v>4</v>
      </c>
      <c r="E104" s="490">
        <v>5</v>
      </c>
      <c r="F104" s="490">
        <v>6</v>
      </c>
      <c r="G104" s="490">
        <v>7</v>
      </c>
      <c r="H104" s="490">
        <v>8</v>
      </c>
      <c r="I104" s="482">
        <v>9</v>
      </c>
      <c r="J104" s="482">
        <v>10</v>
      </c>
      <c r="K104" s="482">
        <v>11</v>
      </c>
      <c r="L104" s="482">
        <v>12</v>
      </c>
      <c r="M104" s="482">
        <v>13</v>
      </c>
      <c r="N104" s="482">
        <v>14</v>
      </c>
      <c r="O104" s="482">
        <v>15</v>
      </c>
      <c r="P104" s="482">
        <v>16</v>
      </c>
      <c r="Q104" s="482">
        <v>17</v>
      </c>
      <c r="R104" s="482">
        <v>18</v>
      </c>
      <c r="S104" s="482">
        <v>19</v>
      </c>
      <c r="T104" s="482">
        <v>20</v>
      </c>
      <c r="U104" s="482">
        <v>21</v>
      </c>
      <c r="V104" s="482">
        <v>22</v>
      </c>
      <c r="W104" s="482">
        <v>23</v>
      </c>
      <c r="X104" s="482">
        <v>24</v>
      </c>
      <c r="Y104" s="482">
        <v>25</v>
      </c>
      <c r="Z104" s="482">
        <v>26</v>
      </c>
      <c r="AA104" s="497" t="s"/>
      <c r="AB104" s="497" t="s"/>
      <c r="AC104" s="497" t="s"/>
      <c r="AD104" s="497" t="s"/>
      <c r="AE104" s="497" t="s"/>
      <c r="AF104" s="497" t="s"/>
      <c r="AG104" s="497" t="s"/>
      <c r="AH104" s="497" t="s"/>
      <c r="AI104" s="497" t="s"/>
      <c r="AJ104" s="497" t="s"/>
      <c r="AK104" s="497" t="s"/>
      <c r="AL104" s="497" t="s"/>
      <c r="AM104" s="497" t="s"/>
      <c r="AN104" s="497" t="s"/>
      <c r="AO104" s="497" t="s"/>
      <c r="AP104" s="497" t="s"/>
      <c r="AQ104" s="497" t="s"/>
      <c r="AR104" s="497" t="s"/>
      <c r="AS104" s="497" t="s"/>
      <c r="AT104" s="497" t="s"/>
    </row>
    <row r="105" spans="1:46" ht="18" customHeight="1">
      <c r="A105" s="573" t="s">
        <v>334</v>
      </c>
      <c r="B105" s="489" t="s">
        <v>430</v>
      </c>
      <c r="C105" s="490" t="s">
        <v>393</v>
      </c>
      <c r="D105" s="501">
        <v>1</v>
      </c>
      <c r="E105" s="501">
        <f>5/E107</f>
        <v>1</v>
      </c>
      <c r="F105" s="501">
        <f>5/F107</f>
        <v>0.833333333333334</v>
      </c>
      <c r="G105" s="501">
        <f>5/G107</f>
        <v>0.714285714285714</v>
      </c>
      <c r="H105" s="501">
        <f>5/H107</f>
        <v>0.625</v>
      </c>
      <c r="I105" s="496" t="s"/>
      <c r="J105" s="496" t="s"/>
      <c r="K105" s="498" t="s"/>
      <c r="L105" s="498" t="s"/>
      <c r="M105" s="498" t="s"/>
      <c r="N105" s="498" t="s"/>
      <c r="O105" s="575" t="s"/>
      <c r="P105" s="496" t="s"/>
      <c r="Q105" s="496" t="s"/>
      <c r="R105" s="496" t="s"/>
      <c r="S105" s="496" t="s"/>
      <c r="T105" s="496" t="s"/>
      <c r="U105" s="496" t="s"/>
      <c r="V105" s="496" t="s"/>
      <c r="W105" s="497" t="s"/>
      <c r="X105" s="497" t="s"/>
      <c r="Y105" s="497" t="s"/>
      <c r="Z105" s="497" t="s"/>
      <c r="AA105" s="497" t="s"/>
      <c r="AB105" s="497" t="s"/>
      <c r="AC105" s="497" t="s"/>
      <c r="AD105" s="497" t="s"/>
      <c r="AE105" s="497" t="s"/>
      <c r="AF105" s="497" t="s"/>
      <c r="AG105" s="497" t="s"/>
      <c r="AH105" s="497" t="s"/>
      <c r="AI105" s="497" t="s"/>
      <c r="AJ105" s="497" t="s"/>
      <c r="AK105" s="497" t="s"/>
      <c r="AL105" s="497" t="s"/>
      <c r="AM105" s="497" t="s"/>
      <c r="AN105" s="497" t="s"/>
      <c r="AO105" s="497" t="s"/>
      <c r="AP105" s="497" t="s"/>
      <c r="AQ105" s="497" t="s"/>
      <c r="AR105" s="497" t="s"/>
      <c r="AS105" s="497" t="s"/>
      <c r="AT105" s="497" t="s"/>
    </row>
    <row r="106" spans="1:46" ht="18" customHeight="1">
      <c r="A106" s="45" t="s"/>
      <c r="B106" s="292" t="s"/>
      <c r="C106" s="490" t="s">
        <v>394</v>
      </c>
      <c r="D106" s="505">
        <v>1.08</v>
      </c>
      <c r="E106" s="505">
        <f>D106/(D107-1)*(E107-1)</f>
        <v>1.44</v>
      </c>
      <c r="F106" s="505">
        <f>E106/(E107-1)*(F107-1)</f>
        <v>1.8</v>
      </c>
      <c r="G106" s="505">
        <f>F106/(F107-1)*(G107-1)</f>
        <v>2.16</v>
      </c>
      <c r="H106" s="505">
        <f>G106/(G107-1)*(H107-1)</f>
        <v>2.52</v>
      </c>
      <c r="I106" s="496" t="s"/>
      <c r="J106" s="496" t="s"/>
      <c r="K106" s="498" t="s"/>
      <c r="L106" s="498" t="s"/>
      <c r="M106" s="498" t="s"/>
      <c r="N106" s="498" t="s"/>
      <c r="O106" s="575" t="s"/>
      <c r="P106" s="496" t="s"/>
      <c r="Q106" s="496" t="s"/>
      <c r="R106" s="496" t="s"/>
      <c r="S106" s="496" t="s"/>
      <c r="T106" s="496" t="s"/>
      <c r="U106" s="496" t="s"/>
      <c r="V106" s="496" t="s"/>
      <c r="W106" s="497" t="s"/>
      <c r="X106" s="497" t="s"/>
      <c r="Y106" s="497" t="s"/>
      <c r="Z106" s="497" t="s"/>
      <c r="AA106" s="497" t="s"/>
      <c r="AB106" s="497" t="s"/>
      <c r="AC106" s="497" t="s"/>
      <c r="AD106" s="497" t="s"/>
      <c r="AE106" s="497" t="s"/>
      <c r="AF106" s="497" t="s"/>
      <c r="AG106" s="497" t="s"/>
      <c r="AH106" s="497" t="s"/>
      <c r="AI106" s="497" t="s"/>
      <c r="AJ106" s="497" t="s"/>
      <c r="AK106" s="497" t="s"/>
      <c r="AL106" s="497" t="s"/>
      <c r="AM106" s="497" t="s"/>
      <c r="AN106" s="497" t="s"/>
      <c r="AO106" s="497" t="s"/>
      <c r="AP106" s="497" t="s"/>
      <c r="AQ106" s="497" t="s"/>
      <c r="AR106" s="497" t="s"/>
      <c r="AS106" s="497" t="s"/>
      <c r="AT106" s="497" t="s"/>
    </row>
    <row r="107" spans="1:46" ht="18" customHeight="1">
      <c r="A107" s="45" t="s"/>
      <c r="B107" s="292" t="s"/>
      <c r="C107" s="490" t="s">
        <v>395</v>
      </c>
      <c r="D107" s="490">
        <v>4</v>
      </c>
      <c r="E107" s="490">
        <v>5</v>
      </c>
      <c r="F107" s="490">
        <v>6</v>
      </c>
      <c r="G107" s="490">
        <v>7</v>
      </c>
      <c r="H107" s="490">
        <v>8</v>
      </c>
      <c r="I107" s="496" t="s"/>
      <c r="J107" s="496" t="s"/>
      <c r="K107" s="498" t="s"/>
      <c r="L107" s="498" t="s"/>
      <c r="M107" s="498" t="s"/>
      <c r="N107" s="498" t="s"/>
      <c r="O107" s="575" t="s"/>
      <c r="P107" s="496" t="s"/>
      <c r="Q107" s="496" t="s"/>
      <c r="R107" s="496" t="s"/>
      <c r="S107" s="496" t="s"/>
      <c r="T107" s="496" t="s"/>
      <c r="U107" s="496" t="s"/>
      <c r="V107" s="496" t="s"/>
      <c r="W107" s="497" t="s"/>
      <c r="X107" s="497" t="s"/>
      <c r="Y107" s="497" t="s"/>
      <c r="Z107" s="497" t="s"/>
      <c r="AA107" s="497" t="s"/>
      <c r="AB107" s="497" t="s"/>
      <c r="AC107" s="497" t="s"/>
      <c r="AD107" s="497" t="s"/>
      <c r="AE107" s="497" t="s"/>
      <c r="AF107" s="497" t="s"/>
      <c r="AG107" s="497" t="s"/>
      <c r="AH107" s="497" t="s"/>
      <c r="AI107" s="497" t="s"/>
      <c r="AJ107" s="497" t="s"/>
      <c r="AK107" s="497" t="s"/>
      <c r="AL107" s="497" t="s"/>
      <c r="AM107" s="497" t="s"/>
      <c r="AN107" s="497" t="s"/>
      <c r="AO107" s="497" t="s"/>
      <c r="AP107" s="497" t="s"/>
      <c r="AQ107" s="497" t="s"/>
      <c r="AR107" s="497" t="s"/>
      <c r="AS107" s="497" t="s"/>
      <c r="AT107" s="497" t="s"/>
    </row>
    <row r="108" spans="1:46" ht="18" customHeight="1">
      <c r="A108" s="45" t="s"/>
      <c r="B108" s="489" t="s">
        <v>431</v>
      </c>
      <c r="C108" s="490" t="s">
        <v>393</v>
      </c>
      <c r="D108" s="501">
        <v>1</v>
      </c>
      <c r="E108" s="501">
        <f>4/E110</f>
        <v>0.8</v>
      </c>
      <c r="F108" s="501">
        <f>4/F110</f>
        <v>0.666666666666667</v>
      </c>
      <c r="G108" s="501">
        <f>4/G110</f>
        <v>0.571428571428572</v>
      </c>
      <c r="H108" s="501">
        <f>4/H110</f>
        <v>0.5</v>
      </c>
      <c r="I108" s="495">
        <f>4/I110</f>
        <v>0.444444444444445</v>
      </c>
      <c r="J108" s="495">
        <f>4/J110</f>
        <v>0.4</v>
      </c>
      <c r="K108" s="495">
        <f>4/K110</f>
        <v>0.363636363636364</v>
      </c>
      <c r="L108" s="495">
        <f>4/L110</f>
        <v>0.333333333333333</v>
      </c>
      <c r="M108" s="498" t="s"/>
      <c r="N108" s="498" t="s"/>
      <c r="O108" s="575" t="s"/>
      <c r="P108" s="496" t="s"/>
      <c r="Q108" s="496" t="s"/>
      <c r="R108" s="496" t="s"/>
      <c r="S108" s="496" t="s"/>
      <c r="T108" s="496" t="s"/>
      <c r="U108" s="496" t="s"/>
      <c r="V108" s="496" t="s"/>
      <c r="W108" s="497" t="s"/>
      <c r="X108" s="497" t="s"/>
      <c r="Y108" s="497" t="s"/>
      <c r="Z108" s="497" t="s"/>
      <c r="AA108" s="497" t="s"/>
      <c r="AB108" s="497" t="s"/>
      <c r="AC108" s="497" t="s"/>
      <c r="AD108" s="497" t="s"/>
      <c r="AE108" s="497" t="s"/>
      <c r="AF108" s="497" t="s"/>
      <c r="AG108" s="497" t="s"/>
      <c r="AH108" s="497" t="s"/>
      <c r="AI108" s="497" t="s"/>
      <c r="AJ108" s="497" t="s"/>
      <c r="AK108" s="497" t="s"/>
      <c r="AL108" s="497" t="s"/>
      <c r="AM108" s="497" t="s"/>
      <c r="AN108" s="497" t="s"/>
      <c r="AO108" s="497" t="s"/>
      <c r="AP108" s="497" t="s"/>
      <c r="AQ108" s="497" t="s"/>
      <c r="AR108" s="497" t="s"/>
      <c r="AS108" s="497" t="s"/>
      <c r="AT108" s="497" t="s"/>
    </row>
    <row r="109" spans="1:46" ht="18" customHeight="1">
      <c r="A109" s="45" t="s"/>
      <c r="B109" s="292" t="s"/>
      <c r="C109" s="490" t="s">
        <v>394</v>
      </c>
      <c r="D109" s="505">
        <v>2.3</v>
      </c>
      <c r="E109" s="505">
        <f>D109/(D110-1)*(E110-1)</f>
        <v>3.06666666666667</v>
      </c>
      <c r="F109" s="505">
        <f>E109/(E110-1)*(F110-1)</f>
        <v>3.83333333333333</v>
      </c>
      <c r="G109" s="505">
        <f>F109/(F110-1)*(G110-1)</f>
        <v>4.6</v>
      </c>
      <c r="H109" s="505">
        <f>G109/(G110-1)*(H110-1)</f>
        <v>5.36666666666667</v>
      </c>
      <c r="I109" s="483">
        <f>H109/(H110-1)*(I110-1)</f>
        <v>6.13333333333333</v>
      </c>
      <c r="J109" s="483">
        <f>I109/(I110-1)*(J110-1)</f>
        <v>6.9</v>
      </c>
      <c r="K109" s="483">
        <f>J109/(J110-1)*(K110-1)</f>
        <v>7.66666666666667</v>
      </c>
      <c r="L109" s="483">
        <f>K109/(K110-1)*(L110-1)</f>
        <v>8.43333333333334</v>
      </c>
      <c r="M109" s="498" t="s"/>
      <c r="N109" s="498" t="s"/>
      <c r="O109" s="575" t="s"/>
      <c r="P109" s="496" t="s"/>
      <c r="Q109" s="496" t="s"/>
      <c r="R109" s="496" t="s"/>
      <c r="S109" s="496" t="s"/>
      <c r="T109" s="496" t="s"/>
      <c r="U109" s="496" t="s"/>
      <c r="V109" s="496" t="s"/>
      <c r="W109" s="497" t="s"/>
      <c r="X109" s="497" t="s"/>
      <c r="Y109" s="497" t="s"/>
      <c r="Z109" s="497" t="s"/>
      <c r="AA109" s="497" t="s"/>
      <c r="AB109" s="497" t="s"/>
      <c r="AC109" s="497" t="s"/>
      <c r="AD109" s="497" t="s"/>
      <c r="AE109" s="497" t="s"/>
      <c r="AF109" s="497" t="s"/>
      <c r="AG109" s="497" t="s"/>
      <c r="AH109" s="497" t="s"/>
      <c r="AI109" s="497" t="s"/>
      <c r="AJ109" s="497" t="s"/>
      <c r="AK109" s="497" t="s"/>
      <c r="AL109" s="497" t="s"/>
      <c r="AM109" s="497" t="s"/>
      <c r="AN109" s="497" t="s"/>
      <c r="AO109" s="497" t="s"/>
      <c r="AP109" s="497" t="s"/>
      <c r="AQ109" s="497" t="s"/>
      <c r="AR109" s="497" t="s"/>
      <c r="AS109" s="497" t="s"/>
      <c r="AT109" s="497" t="s"/>
    </row>
    <row r="110" spans="1:46" ht="18" customHeight="1">
      <c r="A110" s="45" t="s"/>
      <c r="B110" s="292" t="s"/>
      <c r="C110" s="490" t="s">
        <v>395</v>
      </c>
      <c r="D110" s="490">
        <v>4</v>
      </c>
      <c r="E110" s="490">
        <v>5</v>
      </c>
      <c r="F110" s="490">
        <v>6</v>
      </c>
      <c r="G110" s="490">
        <v>7</v>
      </c>
      <c r="H110" s="490">
        <v>8</v>
      </c>
      <c r="I110" s="482">
        <v>9</v>
      </c>
      <c r="J110" s="482">
        <v>10</v>
      </c>
      <c r="K110" s="482">
        <v>11</v>
      </c>
      <c r="L110" s="482">
        <v>12</v>
      </c>
      <c r="M110" s="498" t="s"/>
      <c r="N110" s="498" t="s"/>
      <c r="O110" s="575" t="s"/>
      <c r="P110" s="496" t="s"/>
      <c r="Q110" s="496" t="s"/>
      <c r="R110" s="496" t="s"/>
      <c r="S110" s="496" t="s"/>
      <c r="T110" s="496" t="s"/>
      <c r="U110" s="496" t="s"/>
      <c r="V110" s="496" t="s"/>
      <c r="W110" s="497" t="s"/>
      <c r="X110" s="497" t="s"/>
      <c r="Y110" s="497" t="s"/>
      <c r="Z110" s="497" t="s"/>
      <c r="AA110" s="497" t="s"/>
      <c r="AB110" s="497" t="s"/>
      <c r="AC110" s="497" t="s"/>
      <c r="AD110" s="497" t="s"/>
      <c r="AE110" s="497" t="s"/>
      <c r="AF110" s="497" t="s"/>
      <c r="AG110" s="497" t="s"/>
      <c r="AH110" s="497" t="s"/>
      <c r="AI110" s="497" t="s"/>
      <c r="AJ110" s="497" t="s"/>
      <c r="AK110" s="497" t="s"/>
      <c r="AL110" s="497" t="s"/>
      <c r="AM110" s="497" t="s"/>
      <c r="AN110" s="497" t="s"/>
      <c r="AO110" s="497" t="s"/>
      <c r="AP110" s="497" t="s"/>
      <c r="AQ110" s="497" t="s"/>
      <c r="AR110" s="497" t="s"/>
      <c r="AS110" s="497" t="s"/>
      <c r="AT110" s="497" t="s"/>
    </row>
    <row r="111" spans="1:46" ht="18" customHeight="1">
      <c r="A111" s="45" t="s"/>
      <c r="B111" s="489" t="s">
        <v>432</v>
      </c>
      <c r="C111" s="490" t="s">
        <v>393</v>
      </c>
      <c r="D111" s="501">
        <v>1</v>
      </c>
      <c r="E111" s="501">
        <f>3/E113</f>
        <v>0.75</v>
      </c>
      <c r="F111" s="501">
        <f>3/F113</f>
        <v>0.6</v>
      </c>
      <c r="G111" s="501">
        <f>3/G113</f>
        <v>0.5</v>
      </c>
      <c r="H111" s="501">
        <f>3/H113</f>
        <v>0.428571428571429</v>
      </c>
      <c r="I111" s="496" t="s"/>
      <c r="J111" s="496" t="s"/>
      <c r="K111" s="498" t="s"/>
      <c r="L111" s="498" t="s"/>
      <c r="M111" s="498" t="s"/>
      <c r="N111" s="498" t="s"/>
      <c r="O111" s="575" t="s"/>
      <c r="P111" s="496" t="s"/>
      <c r="Q111" s="496" t="s"/>
      <c r="R111" s="496" t="s"/>
      <c r="S111" s="496" t="s"/>
      <c r="T111" s="496" t="s"/>
      <c r="U111" s="496" t="s"/>
      <c r="V111" s="496" t="s"/>
      <c r="W111" s="497" t="s"/>
      <c r="X111" s="497" t="s"/>
      <c r="Y111" s="497" t="s"/>
      <c r="Z111" s="497" t="s"/>
      <c r="AA111" s="497" t="s"/>
      <c r="AB111" s="497" t="s"/>
      <c r="AC111" s="497" t="s"/>
      <c r="AD111" s="497" t="s"/>
      <c r="AE111" s="497" t="s"/>
      <c r="AF111" s="497" t="s"/>
      <c r="AG111" s="497" t="s"/>
      <c r="AH111" s="497" t="s"/>
      <c r="AI111" s="497" t="s"/>
      <c r="AJ111" s="497" t="s"/>
      <c r="AK111" s="497" t="s"/>
      <c r="AL111" s="497" t="s"/>
      <c r="AM111" s="497" t="s"/>
      <c r="AN111" s="497" t="s"/>
      <c r="AO111" s="497" t="s"/>
      <c r="AP111" s="497" t="s"/>
      <c r="AQ111" s="497" t="s"/>
      <c r="AR111" s="497" t="s"/>
      <c r="AS111" s="497" t="s"/>
      <c r="AT111" s="497" t="s"/>
    </row>
    <row r="112" spans="1:46" ht="18" customHeight="1">
      <c r="A112" s="45" t="s"/>
      <c r="B112" s="292" t="s"/>
      <c r="C112" s="490" t="s">
        <v>394</v>
      </c>
      <c r="D112" s="505">
        <v>3.21</v>
      </c>
      <c r="E112" s="505">
        <f>D112/(D113-1)*(E113-1)</f>
        <v>4.815</v>
      </c>
      <c r="F112" s="505">
        <f>E112/(E113-1)*(F113-1)</f>
        <v>6.42</v>
      </c>
      <c r="G112" s="505">
        <f>F112/(F113-1)*(G113-1)</f>
        <v>8.025</v>
      </c>
      <c r="H112" s="505">
        <f>G112/(G113-1)*(H113-1)</f>
        <v>9.63</v>
      </c>
      <c r="I112" s="496" t="s"/>
      <c r="J112" s="496" t="s"/>
      <c r="K112" s="498" t="s"/>
      <c r="L112" s="498" t="s"/>
      <c r="M112" s="498" t="s"/>
      <c r="N112" s="498" t="s"/>
      <c r="O112" s="575" t="s"/>
      <c r="P112" s="496" t="s"/>
      <c r="Q112" s="496" t="s"/>
      <c r="R112" s="496" t="s"/>
      <c r="S112" s="496" t="s"/>
      <c r="T112" s="496" t="s"/>
      <c r="U112" s="496" t="s"/>
      <c r="V112" s="496" t="s"/>
      <c r="W112" s="497" t="s"/>
      <c r="X112" s="497" t="s"/>
      <c r="Y112" s="497" t="s"/>
      <c r="Z112" s="497" t="s"/>
      <c r="AA112" s="497" t="s"/>
      <c r="AB112" s="497" t="s"/>
      <c r="AC112" s="497" t="s"/>
      <c r="AD112" s="497" t="s"/>
      <c r="AE112" s="497" t="s"/>
      <c r="AF112" s="497" t="s"/>
      <c r="AG112" s="497" t="s"/>
      <c r="AH112" s="497" t="s"/>
      <c r="AI112" s="497" t="s"/>
      <c r="AJ112" s="497" t="s"/>
      <c r="AK112" s="497" t="s"/>
      <c r="AL112" s="497" t="s"/>
      <c r="AM112" s="497" t="s"/>
      <c r="AN112" s="497" t="s"/>
      <c r="AO112" s="497" t="s"/>
      <c r="AP112" s="497" t="s"/>
      <c r="AQ112" s="497" t="s"/>
      <c r="AR112" s="497" t="s"/>
      <c r="AS112" s="497" t="s"/>
      <c r="AT112" s="497" t="s"/>
    </row>
    <row r="113" spans="1:46" ht="18" customHeight="1">
      <c r="A113" s="45" t="s"/>
      <c r="B113" s="292" t="s"/>
      <c r="C113" s="490" t="s">
        <v>395</v>
      </c>
      <c r="D113" s="490">
        <v>3</v>
      </c>
      <c r="E113" s="490">
        <v>4</v>
      </c>
      <c r="F113" s="490">
        <v>5</v>
      </c>
      <c r="G113" s="490">
        <v>6</v>
      </c>
      <c r="H113" s="490">
        <v>7</v>
      </c>
      <c r="I113" s="496" t="s"/>
      <c r="J113" s="496" t="s"/>
      <c r="K113" s="498" t="s"/>
      <c r="L113" s="498" t="s"/>
      <c r="M113" s="498" t="s"/>
      <c r="N113" s="498" t="s"/>
      <c r="O113" s="575" t="s"/>
      <c r="P113" s="496" t="s"/>
      <c r="Q113" s="496" t="s"/>
      <c r="R113" s="496" t="s"/>
      <c r="S113" s="496" t="s"/>
      <c r="T113" s="496" t="s"/>
      <c r="U113" s="496" t="s"/>
      <c r="V113" s="496" t="s"/>
      <c r="W113" s="497" t="s"/>
      <c r="X113" s="497" t="s"/>
      <c r="Y113" s="497" t="s"/>
      <c r="Z113" s="497" t="s"/>
      <c r="AA113" s="497" t="s"/>
      <c r="AB113" s="497" t="s"/>
      <c r="AC113" s="497" t="s"/>
      <c r="AD113" s="497" t="s"/>
      <c r="AE113" s="497" t="s"/>
      <c r="AF113" s="497" t="s"/>
      <c r="AG113" s="497" t="s"/>
      <c r="AH113" s="497" t="s"/>
      <c r="AI113" s="497" t="s"/>
      <c r="AJ113" s="497" t="s"/>
      <c r="AK113" s="497" t="s"/>
      <c r="AL113" s="497" t="s"/>
      <c r="AM113" s="497" t="s"/>
      <c r="AN113" s="497" t="s"/>
      <c r="AO113" s="497" t="s"/>
      <c r="AP113" s="497" t="s"/>
      <c r="AQ113" s="497" t="s"/>
      <c r="AR113" s="497" t="s"/>
      <c r="AS113" s="497" t="s"/>
      <c r="AT113" s="497" t="s"/>
    </row>
    <row r="114" spans="1:46" ht="18" customHeight="1">
      <c r="A114" s="578" t="s"/>
      <c r="B114" s="489" t="s">
        <v>433</v>
      </c>
      <c r="C114" s="490" t="s">
        <v>393</v>
      </c>
      <c r="D114" s="501">
        <v>1</v>
      </c>
      <c r="E114" s="501">
        <f>3/E116</f>
        <v>0.75</v>
      </c>
      <c r="F114" s="501">
        <f>3/F116</f>
        <v>0.6</v>
      </c>
      <c r="G114" s="501">
        <f>3/G116</f>
        <v>0.5</v>
      </c>
      <c r="H114" s="501">
        <f>3/H116</f>
        <v>0.428571428571429</v>
      </c>
      <c r="I114" s="579" t="s"/>
      <c r="J114" s="579" t="s"/>
      <c r="K114" s="513" t="s"/>
      <c r="L114" s="575" t="s"/>
      <c r="M114" s="498" t="s"/>
      <c r="N114" s="498" t="s"/>
      <c r="O114" s="575" t="s"/>
      <c r="P114" s="496" t="s"/>
      <c r="Q114" s="496" t="s"/>
      <c r="R114" s="496" t="s"/>
      <c r="S114" s="496" t="s"/>
      <c r="T114" s="496" t="s"/>
      <c r="U114" s="496" t="s"/>
      <c r="V114" s="496" t="s"/>
      <c r="W114" s="497" t="s"/>
      <c r="X114" s="497" t="s"/>
      <c r="Y114" s="497" t="s"/>
      <c r="Z114" s="497" t="s"/>
      <c r="AA114" s="497" t="s"/>
      <c r="AB114" s="497" t="s"/>
      <c r="AC114" s="497" t="s"/>
      <c r="AD114" s="497" t="s"/>
      <c r="AE114" s="497" t="s"/>
      <c r="AF114" s="497" t="s"/>
      <c r="AG114" s="497" t="s"/>
      <c r="AH114" s="497" t="s"/>
      <c r="AI114" s="497" t="s"/>
      <c r="AJ114" s="497" t="s"/>
      <c r="AK114" s="497" t="s"/>
      <c r="AL114" s="497" t="s"/>
      <c r="AM114" s="497" t="s"/>
      <c r="AN114" s="497" t="s"/>
      <c r="AO114" s="497" t="s"/>
      <c r="AP114" s="497" t="s"/>
      <c r="AQ114" s="497" t="s"/>
      <c r="AR114" s="497" t="s"/>
      <c r="AS114" s="497" t="s"/>
      <c r="AT114" s="497" t="s"/>
    </row>
    <row r="115" spans="1:46" ht="18" customHeight="1">
      <c r="A115" s="578" t="s"/>
      <c r="B115" s="292" t="s"/>
      <c r="C115" s="490" t="s">
        <v>394</v>
      </c>
      <c r="D115" s="505">
        <v>2.72</v>
      </c>
      <c r="E115" s="505">
        <f>D115/(D116-1)*(E116-1)</f>
        <v>4.08</v>
      </c>
      <c r="F115" s="505">
        <f>E115/(E116-1)*(F116-1)</f>
        <v>5.44</v>
      </c>
      <c r="G115" s="505">
        <f>F115/(F116-1)*(G116-1)</f>
        <v>6.8</v>
      </c>
      <c r="H115" s="505">
        <f>G115/(G116-1)*(H116-1)</f>
        <v>8.16</v>
      </c>
      <c r="I115" s="579" t="s"/>
      <c r="J115" s="503" t="s"/>
      <c r="K115" s="513" t="s"/>
      <c r="L115" s="575" t="s"/>
      <c r="M115" s="498" t="s"/>
      <c r="N115" s="498" t="s"/>
      <c r="O115" s="575" t="s"/>
      <c r="P115" s="496" t="s"/>
      <c r="Q115" s="496" t="s"/>
      <c r="R115" s="496" t="s"/>
      <c r="S115" s="496" t="s"/>
      <c r="T115" s="496" t="s"/>
      <c r="U115" s="496" t="s"/>
      <c r="V115" s="496" t="s"/>
      <c r="W115" s="497" t="s"/>
      <c r="X115" s="497" t="s"/>
      <c r="Y115" s="497" t="s"/>
      <c r="Z115" s="497" t="s"/>
      <c r="AA115" s="497" t="s"/>
      <c r="AB115" s="497" t="s"/>
      <c r="AC115" s="497" t="s"/>
      <c r="AD115" s="497" t="s"/>
      <c r="AE115" s="497" t="s"/>
      <c r="AF115" s="497" t="s"/>
      <c r="AG115" s="497" t="s"/>
      <c r="AH115" s="497" t="s"/>
      <c r="AI115" s="497" t="s"/>
      <c r="AJ115" s="497" t="s"/>
      <c r="AK115" s="497" t="s"/>
      <c r="AL115" s="497" t="s"/>
      <c r="AM115" s="497" t="s"/>
      <c r="AN115" s="497" t="s"/>
      <c r="AO115" s="497" t="s"/>
      <c r="AP115" s="497" t="s"/>
      <c r="AQ115" s="497" t="s"/>
      <c r="AR115" s="497" t="s"/>
      <c r="AS115" s="497" t="s"/>
      <c r="AT115" s="497" t="s"/>
    </row>
    <row r="116" spans="1:46" ht="18" customHeight="1">
      <c r="A116" s="578" t="s"/>
      <c r="B116" s="292" t="s"/>
      <c r="C116" s="490" t="s">
        <v>395</v>
      </c>
      <c r="D116" s="490">
        <v>3</v>
      </c>
      <c r="E116" s="490">
        <v>4</v>
      </c>
      <c r="F116" s="490">
        <v>5</v>
      </c>
      <c r="G116" s="490">
        <v>6</v>
      </c>
      <c r="H116" s="490">
        <v>7</v>
      </c>
      <c r="I116" s="579" t="s"/>
      <c r="J116" s="503" t="s"/>
      <c r="K116" s="513" t="s"/>
      <c r="L116" s="575" t="s"/>
      <c r="M116" s="498" t="s"/>
      <c r="N116" s="498" t="s"/>
      <c r="O116" s="575" t="s"/>
      <c r="P116" s="496" t="s"/>
      <c r="Q116" s="496" t="s"/>
      <c r="R116" s="496" t="s"/>
      <c r="S116" s="496" t="s"/>
      <c r="T116" s="496" t="s"/>
      <c r="U116" s="496" t="s"/>
      <c r="V116" s="496" t="s"/>
      <c r="W116" s="497" t="s"/>
      <c r="X116" s="497" t="s"/>
      <c r="Y116" s="497" t="s"/>
      <c r="Z116" s="497" t="s"/>
      <c r="AA116" s="497" t="s"/>
      <c r="AB116" s="497" t="s"/>
      <c r="AC116" s="497" t="s"/>
      <c r="AD116" s="497" t="s"/>
      <c r="AE116" s="497" t="s"/>
      <c r="AF116" s="497" t="s"/>
      <c r="AG116" s="497" t="s"/>
      <c r="AH116" s="497" t="s"/>
      <c r="AI116" s="497" t="s"/>
      <c r="AJ116" s="497" t="s"/>
      <c r="AK116" s="497" t="s"/>
      <c r="AL116" s="497" t="s"/>
      <c r="AM116" s="497" t="s"/>
      <c r="AN116" s="497" t="s"/>
      <c r="AO116" s="497" t="s"/>
      <c r="AP116" s="497" t="s"/>
      <c r="AQ116" s="497" t="s"/>
      <c r="AR116" s="497" t="s"/>
      <c r="AS116" s="497" t="s"/>
      <c r="AT116" s="497" t="s"/>
    </row>
    <row r="117" spans="1:46" ht="18" customHeight="1">
      <c r="A117" s="45" t="s"/>
      <c r="B117" s="489" t="s">
        <v>434</v>
      </c>
      <c r="C117" s="490" t="s">
        <v>393</v>
      </c>
      <c r="D117" s="501">
        <v>1</v>
      </c>
      <c r="E117" s="501">
        <f>3/E119</f>
        <v>0.6</v>
      </c>
      <c r="F117" s="501">
        <f>3/F119</f>
        <v>0.5</v>
      </c>
      <c r="G117" s="501">
        <f>3/G119</f>
        <v>0.428571428571429</v>
      </c>
      <c r="H117" s="501">
        <f>3/H119</f>
        <v>0.375</v>
      </c>
      <c r="I117" s="501">
        <f>3/I119</f>
        <v>0.333333333333333</v>
      </c>
      <c r="J117" s="503" t="s"/>
      <c r="K117" s="515" t="s"/>
      <c r="L117" s="496" t="s"/>
      <c r="M117" s="498" t="s"/>
      <c r="N117" s="498" t="s"/>
      <c r="O117" s="575" t="s"/>
      <c r="P117" s="496" t="s"/>
      <c r="Q117" s="496" t="s"/>
      <c r="R117" s="496" t="s"/>
      <c r="S117" s="496" t="s"/>
      <c r="T117" s="496" t="s"/>
      <c r="U117" s="496" t="s"/>
      <c r="V117" s="496" t="s"/>
      <c r="W117" s="497" t="s"/>
      <c r="X117" s="497" t="s"/>
      <c r="Y117" s="497" t="s"/>
      <c r="Z117" s="497" t="s"/>
      <c r="AA117" s="497" t="s"/>
      <c r="AB117" s="497" t="s"/>
      <c r="AC117" s="497" t="s"/>
      <c r="AD117" s="497" t="s"/>
      <c r="AE117" s="497" t="s"/>
      <c r="AF117" s="497" t="s"/>
      <c r="AG117" s="497" t="s"/>
      <c r="AH117" s="497" t="s"/>
      <c r="AI117" s="497" t="s"/>
      <c r="AJ117" s="497" t="s"/>
      <c r="AK117" s="497" t="s"/>
      <c r="AL117" s="497" t="s"/>
      <c r="AM117" s="497" t="s"/>
      <c r="AN117" s="497" t="s"/>
      <c r="AO117" s="497" t="s"/>
      <c r="AP117" s="497" t="s"/>
      <c r="AQ117" s="497" t="s"/>
      <c r="AR117" s="497" t="s"/>
      <c r="AS117" s="497" t="s"/>
      <c r="AT117" s="497" t="s"/>
    </row>
    <row r="118" spans="1:46" ht="18" customHeight="1">
      <c r="A118" s="45" t="s"/>
      <c r="B118" s="292" t="s"/>
      <c r="C118" s="490" t="s">
        <v>394</v>
      </c>
      <c r="D118" s="505">
        <v>2.55</v>
      </c>
      <c r="E118" s="505">
        <f>D118/(D119-1)*(E119-1)</f>
        <v>3.4</v>
      </c>
      <c r="F118" s="505">
        <f>E118/(E119-1)*(F119-1)</f>
        <v>4.25</v>
      </c>
      <c r="G118" s="505">
        <f>F118/(F119-1)*(G119-1)</f>
        <v>5.1</v>
      </c>
      <c r="H118" s="505">
        <f>G118/(G119-1)*(H119-1)</f>
        <v>5.95</v>
      </c>
      <c r="I118" s="505">
        <f>H118/(H119-1)*(I119-1)</f>
        <v>6.8</v>
      </c>
      <c r="J118" s="503" t="s"/>
      <c r="K118" s="515" t="s"/>
      <c r="L118" s="496" t="s"/>
      <c r="M118" s="498" t="s"/>
      <c r="N118" s="498" t="s"/>
      <c r="O118" s="575" t="s"/>
      <c r="P118" s="496" t="s"/>
      <c r="Q118" s="496" t="s"/>
      <c r="R118" s="496" t="s"/>
      <c r="S118" s="496" t="s"/>
      <c r="T118" s="496" t="s"/>
      <c r="U118" s="496" t="s"/>
      <c r="V118" s="496" t="s"/>
      <c r="W118" s="497" t="s"/>
      <c r="X118" s="497" t="s"/>
      <c r="Y118" s="497" t="s"/>
      <c r="Z118" s="497" t="s"/>
      <c r="AA118" s="497" t="s"/>
      <c r="AB118" s="497" t="s"/>
      <c r="AC118" s="497" t="s"/>
      <c r="AD118" s="497" t="s"/>
      <c r="AE118" s="497" t="s"/>
      <c r="AF118" s="497" t="s"/>
      <c r="AG118" s="497" t="s"/>
      <c r="AH118" s="497" t="s"/>
      <c r="AI118" s="497" t="s"/>
      <c r="AJ118" s="497" t="s"/>
      <c r="AK118" s="497" t="s"/>
      <c r="AL118" s="497" t="s"/>
      <c r="AM118" s="497" t="s"/>
      <c r="AN118" s="497" t="s"/>
      <c r="AO118" s="497" t="s"/>
      <c r="AP118" s="497" t="s"/>
      <c r="AQ118" s="497" t="s"/>
      <c r="AR118" s="497" t="s"/>
      <c r="AS118" s="497" t="s"/>
      <c r="AT118" s="497" t="s"/>
    </row>
    <row r="119" spans="1:46" ht="18" customHeight="1">
      <c r="A119" s="45" t="s"/>
      <c r="B119" s="292" t="s"/>
      <c r="C119" s="490" t="s">
        <v>395</v>
      </c>
      <c r="D119" s="490">
        <v>4</v>
      </c>
      <c r="E119" s="490">
        <v>5</v>
      </c>
      <c r="F119" s="490">
        <v>6</v>
      </c>
      <c r="G119" s="490">
        <v>7</v>
      </c>
      <c r="H119" s="490">
        <v>8</v>
      </c>
      <c r="I119" s="490">
        <v>9</v>
      </c>
      <c r="J119" s="503" t="s"/>
      <c r="K119" s="515" t="s"/>
      <c r="L119" s="496" t="s"/>
      <c r="M119" s="498" t="s"/>
      <c r="N119" s="498" t="s"/>
      <c r="O119" s="575" t="s"/>
      <c r="P119" s="496" t="s"/>
      <c r="Q119" s="496" t="s"/>
      <c r="R119" s="496" t="s"/>
      <c r="S119" s="496" t="s"/>
      <c r="T119" s="496" t="s"/>
      <c r="U119" s="496" t="s"/>
      <c r="V119" s="496" t="s"/>
      <c r="W119" s="497" t="s"/>
      <c r="X119" s="497" t="s"/>
      <c r="Y119" s="497" t="s"/>
      <c r="Z119" s="497" t="s"/>
      <c r="AA119" s="497" t="s"/>
      <c r="AB119" s="497" t="s"/>
      <c r="AC119" s="497" t="s"/>
      <c r="AD119" s="497" t="s"/>
      <c r="AE119" s="497" t="s"/>
      <c r="AF119" s="497" t="s"/>
      <c r="AG119" s="497" t="s"/>
      <c r="AH119" s="497" t="s"/>
      <c r="AI119" s="497" t="s"/>
      <c r="AJ119" s="497" t="s"/>
      <c r="AK119" s="497" t="s"/>
      <c r="AL119" s="497" t="s"/>
      <c r="AM119" s="497" t="s"/>
      <c r="AN119" s="497" t="s"/>
      <c r="AO119" s="497" t="s"/>
      <c r="AP119" s="497" t="s"/>
      <c r="AQ119" s="497" t="s"/>
      <c r="AR119" s="497" t="s"/>
      <c r="AS119" s="497" t="s"/>
      <c r="AT119" s="497" t="s"/>
    </row>
    <row r="120" spans="2:46">
      <c r="B120" s="516" t="s"/>
      <c r="C120" s="516" t="s"/>
      <c r="D120" s="516" t="s"/>
      <c r="E120" s="516" t="s"/>
      <c r="F120" s="516" t="s"/>
      <c r="G120" s="516" t="s"/>
      <c r="H120" s="516" t="s"/>
      <c r="I120" s="516" t="s"/>
      <c r="J120" s="516" t="s"/>
      <c r="K120" s="504" t="s"/>
      <c r="L120" s="497" t="s"/>
      <c r="M120" s="497" t="s"/>
      <c r="N120" s="497" t="s"/>
      <c r="O120" s="497" t="s"/>
      <c r="P120" s="497" t="s"/>
      <c r="Q120" s="497" t="s"/>
      <c r="R120" s="497" t="s"/>
      <c r="S120" s="497" t="s"/>
      <c r="T120" s="497" t="s"/>
      <c r="U120" s="497" t="s"/>
      <c r="V120" s="497" t="s"/>
      <c r="W120" s="497" t="s"/>
      <c r="X120" s="497" t="s"/>
      <c r="Y120" s="497" t="s"/>
      <c r="Z120" s="497" t="s"/>
      <c r="AA120" s="497" t="s"/>
      <c r="AB120" s="497" t="s"/>
      <c r="AC120" s="497" t="s"/>
      <c r="AD120" s="497" t="s"/>
      <c r="AE120" s="497" t="s"/>
      <c r="AF120" s="497" t="s"/>
      <c r="AG120" s="497" t="s"/>
      <c r="AH120" s="497" t="s"/>
      <c r="AI120" s="497" t="s"/>
      <c r="AJ120" s="497" t="s"/>
      <c r="AK120" s="497" t="s"/>
      <c r="AL120" s="497" t="s"/>
      <c r="AM120" s="497" t="s"/>
      <c r="AN120" s="497" t="s"/>
      <c r="AO120" s="497" t="s"/>
      <c r="AP120" s="497" t="s"/>
      <c r="AQ120" s="497" t="s"/>
      <c r="AR120" s="497" t="s"/>
      <c r="AS120" s="497" t="s"/>
      <c r="AT120" s="497" t="s"/>
    </row>
    <row r="121" spans="2:46">
      <c r="B121" s="516" t="s"/>
      <c r="C121" s="516" t="s"/>
      <c r="D121" s="516" t="s"/>
      <c r="E121" s="516" t="s"/>
      <c r="F121" s="516" t="s"/>
      <c r="G121" s="516" t="s"/>
      <c r="H121" s="516" t="s"/>
      <c r="I121" s="516" t="s"/>
      <c r="J121" s="516" t="s"/>
      <c r="K121" s="504" t="s"/>
      <c r="L121" s="497" t="s"/>
      <c r="M121" s="497" t="s"/>
      <c r="N121" s="497" t="s"/>
      <c r="O121" s="497" t="s"/>
      <c r="P121" s="497" t="s"/>
      <c r="Q121" s="497" t="s"/>
      <c r="R121" s="497" t="s"/>
      <c r="S121" s="497" t="s"/>
      <c r="T121" s="497" t="s"/>
      <c r="U121" s="497" t="s"/>
      <c r="V121" s="497" t="s"/>
      <c r="W121" s="497" t="s"/>
      <c r="X121" s="497" t="s"/>
      <c r="Y121" s="497" t="s"/>
      <c r="Z121" s="497" t="s"/>
      <c r="AA121" s="497" t="s"/>
      <c r="AB121" s="497" t="s"/>
      <c r="AC121" s="497" t="s"/>
      <c r="AD121" s="497" t="s"/>
      <c r="AE121" s="497" t="s"/>
      <c r="AF121" s="497" t="s"/>
      <c r="AG121" s="497" t="s"/>
      <c r="AH121" s="497" t="s"/>
      <c r="AI121" s="497" t="s"/>
      <c r="AJ121" s="497" t="s"/>
      <c r="AK121" s="497" t="s"/>
      <c r="AL121" s="497" t="s"/>
      <c r="AM121" s="497" t="s"/>
      <c r="AN121" s="497" t="s"/>
      <c r="AO121" s="497" t="s"/>
      <c r="AP121" s="497" t="s"/>
      <c r="AQ121" s="497" t="s"/>
      <c r="AR121" s="497" t="s"/>
      <c r="AS121" s="497" t="s"/>
      <c r="AT121" s="497" t="s"/>
    </row>
    <row r="122" spans="2:46">
      <c r="B122" s="516" t="s"/>
      <c r="C122" s="516" t="s"/>
      <c r="D122" s="516" t="s"/>
      <c r="E122" s="516" t="s"/>
      <c r="F122" s="516" t="s"/>
      <c r="G122" s="516" t="s"/>
      <c r="H122" s="516" t="s"/>
      <c r="I122" s="516" t="s"/>
      <c r="J122" s="516" t="s"/>
      <c r="K122" s="504" t="s"/>
      <c r="L122" s="497" t="s"/>
      <c r="M122" s="497" t="s"/>
      <c r="N122" s="497" t="s"/>
      <c r="O122" s="497" t="s"/>
      <c r="P122" s="497" t="s"/>
      <c r="Q122" s="497" t="s"/>
      <c r="R122" s="497" t="s"/>
      <c r="S122" s="497" t="s"/>
      <c r="T122" s="497" t="s"/>
      <c r="U122" s="497" t="s"/>
      <c r="V122" s="497" t="s"/>
      <c r="W122" s="497" t="s"/>
      <c r="X122" s="497" t="s"/>
      <c r="Y122" s="497" t="s"/>
      <c r="Z122" s="497" t="s"/>
      <c r="AA122" s="497" t="s"/>
      <c r="AB122" s="497" t="s"/>
      <c r="AC122" s="497" t="s"/>
      <c r="AD122" s="497" t="s"/>
      <c r="AE122" s="497" t="s"/>
      <c r="AF122" s="497" t="s"/>
      <c r="AG122" s="497" t="s"/>
      <c r="AH122" s="497" t="s"/>
      <c r="AI122" s="497" t="s"/>
      <c r="AJ122" s="497" t="s"/>
      <c r="AK122" s="497" t="s"/>
      <c r="AL122" s="497" t="s"/>
      <c r="AM122" s="497" t="s"/>
      <c r="AN122" s="497" t="s"/>
      <c r="AO122" s="497" t="s"/>
      <c r="AP122" s="497" t="s"/>
      <c r="AQ122" s="497" t="s"/>
      <c r="AR122" s="497" t="s"/>
      <c r="AS122" s="497" t="s"/>
      <c r="AT122" s="497" t="s"/>
    </row>
  </sheetData>
  <mergeCells count="47">
    <mergeCell ref="B3:B5"/>
    <mergeCell ref="B6:B8"/>
    <mergeCell ref="B9:B11"/>
    <mergeCell ref="B12:B14"/>
    <mergeCell ref="B15:B17"/>
    <mergeCell ref="B21:B23"/>
    <mergeCell ref="B24:B26"/>
    <mergeCell ref="B30:B32"/>
    <mergeCell ref="B27:B29"/>
    <mergeCell ref="B33:B35"/>
    <mergeCell ref="B36:B38"/>
    <mergeCell ref="B39:B41"/>
    <mergeCell ref="B45:B47"/>
    <mergeCell ref="B48:B50"/>
    <mergeCell ref="B102:B104"/>
    <mergeCell ref="B105:B107"/>
    <mergeCell ref="B108:B110"/>
    <mergeCell ref="B111:B113"/>
    <mergeCell ref="B117:B119"/>
    <mergeCell ref="B99:B101"/>
    <mergeCell ref="B96:B98"/>
    <mergeCell ref="B93:B95"/>
    <mergeCell ref="A93:A104"/>
    <mergeCell ref="B54:B56"/>
    <mergeCell ref="B57:B59"/>
    <mergeCell ref="B60:B62"/>
    <mergeCell ref="B63:B65"/>
    <mergeCell ref="B66:B68"/>
    <mergeCell ref="B69:B71"/>
    <mergeCell ref="B78:B80"/>
    <mergeCell ref="B84:B86"/>
    <mergeCell ref="B87:B89"/>
    <mergeCell ref="B90:B92"/>
    <mergeCell ref="B72:B74"/>
    <mergeCell ref="B75:B77"/>
    <mergeCell ref="A1:Z1"/>
    <mergeCell ref="A2:Z2"/>
    <mergeCell ref="A105:A119"/>
    <mergeCell ref="B114:B116"/>
    <mergeCell ref="B42:B44"/>
    <mergeCell ref="B81:B83"/>
    <mergeCell ref="A72:A92"/>
    <mergeCell ref="B18:B20"/>
    <mergeCell ref="A3:A32"/>
    <mergeCell ref="A54:A71"/>
    <mergeCell ref="B51:B53"/>
    <mergeCell ref="A33:A53"/>
  </mergeCells>
  <hyperlinks>
    <hyperlink ref="A2" r:id="rId0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15B7A"/>
  </sheetPr>
  <dimension ref="AI65"/>
  <sheetViews>
    <sheetView showGridLines="0" tabSelected="0" zoomScale="70" zoomScaleNormal="70" workbookViewId="0">
      <pane xSplit="4" ySplit="5" topLeftCell="E6" activePane="bottomRight" state="frozen"/>
    </sheetView>
  </sheetViews>
  <sheetFormatPr defaultColWidth="9" defaultRowHeight="14.25"/>
  <cols>
    <col min="1" max="1" width="6.01172" style="942" customWidth="1"/>
    <col min="2" max="3" width="12.3828" style="940" customWidth="1"/>
    <col min="4" max="4" width="42.8583" customWidth="1"/>
    <col min="5" max="5" width="11.7695" customWidth="1"/>
    <col min="6" max="6" width="11.7695" customWidth="1"/>
    <col min="7" max="7" width="11.7695" customWidth="1"/>
    <col min="8" max="8" width="11.7695" customWidth="1"/>
    <col min="9" max="9" width="11.7695" customWidth="1"/>
    <col min="10" max="13" width="12.0195" customWidth="1"/>
    <col min="14" max="14" width="9.69141" customWidth="1"/>
    <col min="15" max="18" width="12.2617" customWidth="1"/>
    <col min="19" max="19" width="11.6523" style="943" customWidth="1"/>
    <col min="20" max="23" width="9.20312" customWidth="1"/>
    <col min="24" max="24" width="11.6523" customWidth="1"/>
    <col min="25" max="25" width="15.2167" style="944" customWidth="1"/>
    <col min="26" max="26" width="15.3833" customWidth="1"/>
    <col min="27" max="28" width="12.2617" customWidth="1"/>
    <col min="29" max="29" width="12.5117" customWidth="1"/>
    <col min="30" max="30" width="12.5117" style="945" customWidth="1"/>
    <col min="31" max="31" width="12.5117" style="945" customWidth="1"/>
    <col min="32" max="34" width="10.1417" customWidth="1"/>
    <col min="35" max="35" width="50.625" customWidth="1"/>
  </cols>
  <sheetData>
    <row r="1" spans="1:35" s="939" customFormat="1" ht="51" customHeight="1">
      <c r="A1" s="580" t="s">
        <v>435</v>
      </c>
      <c r="B1" s="581" t="s"/>
      <c r="C1" s="581" t="s"/>
      <c r="D1" s="581" t="s"/>
      <c r="E1" s="581" t="s"/>
      <c r="F1" s="581" t="s"/>
      <c r="G1" s="581" t="s"/>
      <c r="H1" s="581" t="s"/>
      <c r="I1" s="581" t="s"/>
      <c r="J1" s="581" t="s"/>
      <c r="K1" s="581" t="s"/>
      <c r="L1" s="581" t="s"/>
      <c r="M1" s="581" t="s"/>
      <c r="N1" s="581" t="s"/>
      <c r="O1" s="581" t="s"/>
      <c r="P1" s="581" t="s"/>
      <c r="Q1" s="581" t="s"/>
      <c r="R1" s="581" t="s"/>
      <c r="S1" s="581" t="s"/>
      <c r="T1" s="581" t="s"/>
      <c r="U1" s="581" t="s"/>
      <c r="V1" s="581" t="s"/>
      <c r="W1" s="581" t="s"/>
      <c r="X1" s="581" t="s"/>
      <c r="Y1" s="581" t="s"/>
      <c r="Z1" s="581" t="s"/>
      <c r="AA1" s="581" t="s"/>
      <c r="AB1" s="581" t="s"/>
      <c r="AC1" s="581" t="s"/>
      <c r="AD1" s="581" t="s"/>
      <c r="AE1" s="581" t="s"/>
      <c r="AF1" s="581" t="s"/>
      <c r="AG1" s="581" t="s"/>
      <c r="AH1" s="581" t="s"/>
      <c r="AI1" s="582" t="s"/>
    </row>
    <row r="2" spans="1:35" s="939" customFormat="1" ht="22" customHeight="1">
      <c r="A2" s="583" t="s">
        <v>436</v>
      </c>
      <c r="B2" s="584" t="s"/>
      <c r="C2" s="584" t="s"/>
      <c r="D2" s="584" t="s"/>
      <c r="E2" s="584" t="s"/>
      <c r="F2" s="584" t="s"/>
      <c r="G2" s="584" t="s"/>
      <c r="H2" s="584" t="s"/>
      <c r="I2" s="584" t="s"/>
      <c r="J2" s="584" t="s"/>
      <c r="K2" s="584" t="s"/>
      <c r="L2" s="584" t="s"/>
      <c r="M2" s="584" t="s"/>
      <c r="N2" s="584" t="s"/>
      <c r="O2" s="584" t="s"/>
      <c r="P2" s="584" t="s"/>
      <c r="Q2" s="584" t="s"/>
      <c r="R2" s="584" t="s"/>
      <c r="S2" s="584" t="s"/>
      <c r="T2" s="584" t="s"/>
      <c r="U2" s="584" t="s"/>
      <c r="V2" s="584" t="s"/>
      <c r="W2" s="584" t="s"/>
      <c r="X2" s="584" t="s"/>
      <c r="Y2" s="584" t="s"/>
      <c r="Z2" s="584" t="s"/>
      <c r="AA2" s="584" t="s"/>
      <c r="AB2" s="584" t="s"/>
      <c r="AC2" s="584" t="s"/>
      <c r="AD2" s="584" t="s"/>
      <c r="AE2" s="584" t="s"/>
      <c r="AF2" s="584" t="s"/>
      <c r="AG2" s="584" t="s"/>
      <c r="AH2" s="584" t="s"/>
      <c r="AI2" s="585" t="s"/>
    </row>
    <row r="3" spans="1:35" s="939" customFormat="1" ht="36" customHeight="1">
      <c r="A3" s="586" t="s">
        <v>437</v>
      </c>
      <c r="B3" s="587" t="s">
        <v>438</v>
      </c>
      <c r="C3" s="588" t="s"/>
      <c r="D3" s="589" t="s"/>
      <c r="E3" s="590" t="s">
        <v>439</v>
      </c>
      <c r="F3" s="591" t="s"/>
      <c r="G3" s="591" t="s"/>
      <c r="H3" s="591" t="s"/>
      <c r="I3" s="591" t="s"/>
      <c r="J3" s="591" t="s"/>
      <c r="K3" s="591" t="s"/>
      <c r="L3" s="591" t="s"/>
      <c r="M3" s="591" t="s"/>
      <c r="N3" s="591" t="s"/>
      <c r="O3" s="591" t="s"/>
      <c r="P3" s="591" t="s"/>
      <c r="Q3" s="591" t="s"/>
      <c r="R3" s="591" t="s"/>
      <c r="S3" s="591" t="s"/>
      <c r="T3" s="592" t="s">
        <v>440</v>
      </c>
      <c r="U3" s="592" t="s"/>
      <c r="V3" s="592" t="s"/>
      <c r="W3" s="592" t="s"/>
      <c r="X3" s="592" t="s"/>
      <c r="Y3" s="593" t="s"/>
      <c r="Z3" s="592" t="s"/>
      <c r="AA3" s="590" t="s">
        <v>441</v>
      </c>
      <c r="AB3" s="591" t="s"/>
      <c r="AC3" s="591" t="s"/>
      <c r="AD3" s="594" t="s"/>
      <c r="AE3" s="594" t="s"/>
      <c r="AF3" s="591" t="s"/>
      <c r="AG3" s="591" t="s"/>
      <c r="AH3" s="595" t="s"/>
      <c r="AI3" s="596" t="s"/>
    </row>
    <row r="4" spans="1:35" s="940" customFormat="1" ht="41" customHeight="1">
      <c r="A4" s="597" t="s"/>
      <c r="B4" s="598" t="s"/>
      <c r="C4" s="599" t="s"/>
      <c r="D4" s="600" t="s"/>
      <c r="E4" s="601" t="s">
        <v>7</v>
      </c>
      <c r="F4" s="602" t="s"/>
      <c r="G4" s="602" t="s"/>
      <c r="H4" s="602" t="s"/>
      <c r="I4" s="603" t="s"/>
      <c r="J4" s="604" t="s">
        <v>10</v>
      </c>
      <c r="K4" s="605" t="s"/>
      <c r="L4" s="605" t="s"/>
      <c r="M4" s="606" t="s"/>
      <c r="N4" s="607" t="s">
        <v>8</v>
      </c>
      <c r="O4" s="608" t="s">
        <v>442</v>
      </c>
      <c r="P4" s="608" t="s"/>
      <c r="Q4" s="608" t="s"/>
      <c r="R4" s="608" t="s"/>
      <c r="S4" s="609" t="s">
        <v>443</v>
      </c>
      <c r="T4" s="608" t="s">
        <v>9</v>
      </c>
      <c r="U4" s="608" t="s"/>
      <c r="V4" s="608" t="s"/>
      <c r="W4" s="608" t="s"/>
      <c r="X4" s="607" t="s">
        <v>444</v>
      </c>
      <c r="Y4" s="610" t="s">
        <v>445</v>
      </c>
      <c r="Z4" s="611" t="s">
        <v>446</v>
      </c>
      <c r="AA4" s="607" t="s">
        <v>447</v>
      </c>
      <c r="AB4" s="607" t="s"/>
      <c r="AC4" s="608" t="s">
        <v>631</v>
      </c>
      <c r="AD4" s="612" t="s"/>
      <c r="AE4" s="612" t="s"/>
      <c r="AF4" s="613" t="s">
        <v>448</v>
      </c>
      <c r="AG4" s="614" t="s"/>
      <c r="AH4" s="615" t="s"/>
      <c r="AI4" s="613" t="s">
        <v>449</v>
      </c>
    </row>
    <row r="5" spans="1:35" s="941" customFormat="1" ht="39" customHeight="1">
      <c r="A5" s="616" t="s">
        <v>450</v>
      </c>
      <c r="B5" s="616" t="s">
        <v>451</v>
      </c>
      <c r="C5" s="616" t="s">
        <v>452</v>
      </c>
      <c r="D5" s="616" t="s">
        <v>453</v>
      </c>
      <c r="E5" s="616" t="s">
        <v>14</v>
      </c>
      <c r="F5" s="616" t="s">
        <v>454</v>
      </c>
      <c r="G5" s="616" t="s">
        <v>455</v>
      </c>
      <c r="H5" s="616" t="s">
        <v>456</v>
      </c>
      <c r="I5" s="616" t="s">
        <v>457</v>
      </c>
      <c r="J5" s="616" t="s">
        <v>17</v>
      </c>
      <c r="K5" s="616" t="s">
        <v>18</v>
      </c>
      <c r="L5" s="616" t="s">
        <v>458</v>
      </c>
      <c r="M5" s="616" t="s">
        <v>20</v>
      </c>
      <c r="N5" s="616" t="s">
        <v>459</v>
      </c>
      <c r="O5" s="616" t="s">
        <v>460</v>
      </c>
      <c r="P5" s="616" t="s">
        <v>461</v>
      </c>
      <c r="Q5" s="616" t="s">
        <v>462</v>
      </c>
      <c r="R5" s="927" t="s">
        <v>463</v>
      </c>
      <c r="S5" s="617" t="s">
        <v>464</v>
      </c>
      <c r="T5" s="616" t="s">
        <v>465</v>
      </c>
      <c r="U5" s="616" t="s">
        <v>466</v>
      </c>
      <c r="V5" s="616" t="s">
        <v>467</v>
      </c>
      <c r="W5" s="616" t="s">
        <v>468</v>
      </c>
      <c r="X5" s="616" t="s">
        <v>469</v>
      </c>
      <c r="Y5" s="618" t="s">
        <v>470</v>
      </c>
      <c r="Z5" s="616" t="s">
        <v>471</v>
      </c>
      <c r="AA5" s="607" t="s">
        <v>472</v>
      </c>
      <c r="AB5" s="607" t="s">
        <v>473</v>
      </c>
      <c r="AC5" s="607" t="s">
        <v>474</v>
      </c>
      <c r="AD5" s="612" t="s">
        <v>475</v>
      </c>
      <c r="AE5" s="612" t="s">
        <v>476</v>
      </c>
      <c r="AF5" s="607" t="s">
        <v>477</v>
      </c>
      <c r="AG5" s="607" t="s">
        <v>478</v>
      </c>
      <c r="AH5" s="607" t="s">
        <v>479</v>
      </c>
      <c r="AI5" s="613" t="s">
        <v>309</v>
      </c>
    </row>
    <row r="6" spans="1:35" s="939" customFormat="1" ht="39" customHeight="1">
      <c r="A6" s="619">
        <f>ROW(D6)-5</f>
        <v>1</v>
      </c>
      <c r="B6" s="619" t="s">
        <v>480</v>
      </c>
      <c r="C6" s="619" t="s">
        <v>481</v>
      </c>
      <c r="D6" s="620" t="s">
        <v>23</v>
      </c>
      <c r="E6" s="621">
        <v>14</v>
      </c>
      <c r="F6" s="622" t="s">
        <v>24</v>
      </c>
      <c r="G6" s="621">
        <v>14</v>
      </c>
      <c r="H6" s="622" t="s">
        <v>25</v>
      </c>
      <c r="I6" s="621">
        <v>28</v>
      </c>
      <c r="J6" s="623">
        <v>11</v>
      </c>
      <c r="K6" s="623">
        <v>13</v>
      </c>
      <c r="L6" s="623">
        <v>15</v>
      </c>
      <c r="M6" s="623">
        <v>17</v>
      </c>
      <c r="N6" s="624">
        <v>1150</v>
      </c>
      <c r="O6" s="625">
        <f>(J6-1)*(60/N6)</f>
        <v>0.521739130434783</v>
      </c>
      <c r="P6" s="625">
        <f>(K6-1)*(60/N6)</f>
        <v>0.626086956521739</v>
      </c>
      <c r="Q6" s="904">
        <f>(L6-1)*(60/N6)</f>
        <v>0.730434782608696</v>
      </c>
      <c r="R6" s="625">
        <f>(M6-1)*(60/N6)</f>
        <v>0.834782608695652</v>
      </c>
      <c r="S6" s="626">
        <f>E6*N6/60</f>
        <v>268.333333333333</v>
      </c>
      <c r="T6" s="621">
        <v>173</v>
      </c>
      <c r="U6" s="621">
        <v>173</v>
      </c>
      <c r="V6" s="621">
        <v>173</v>
      </c>
      <c r="W6" s="621">
        <v>173</v>
      </c>
      <c r="X6" s="621">
        <f>T6*E6</f>
        <v>2422</v>
      </c>
      <c r="Y6" s="627">
        <f>(W6-L6)/W6*100%</f>
        <v>0.913294797687861</v>
      </c>
      <c r="Z6" s="628">
        <f>($W6-L6)*60/$N6</f>
        <v>8.24347826086957</v>
      </c>
      <c r="AA6" s="629" t="s">
        <v>482</v>
      </c>
      <c r="AB6" s="629" t="s">
        <v>482</v>
      </c>
      <c r="AC6" s="630">
        <v>0.8695</v>
      </c>
      <c r="AD6" s="630">
        <v>0.58</v>
      </c>
      <c r="AE6" s="630">
        <v>0.348</v>
      </c>
      <c r="AF6" s="921" t="s">
        <v>193</v>
      </c>
      <c r="AG6" s="921" t="s">
        <v>193</v>
      </c>
      <c r="AH6" s="921" t="s">
        <v>193</v>
      </c>
      <c r="AI6" s="632" t="s">
        <v>483</v>
      </c>
    </row>
    <row r="7" spans="1:35" s="939" customFormat="1" ht="39" customHeight="1">
      <c r="A7" s="619">
        <f>ROW(D7)-5</f>
        <v>2</v>
      </c>
      <c r="B7" s="619" t="s">
        <v>484</v>
      </c>
      <c r="C7" s="619" t="s">
        <v>481</v>
      </c>
      <c r="D7" s="620" t="s">
        <v>485</v>
      </c>
      <c r="E7" s="621">
        <v>16</v>
      </c>
      <c r="F7" s="622" t="s">
        <v>31</v>
      </c>
      <c r="G7" s="621">
        <v>14</v>
      </c>
      <c r="H7" s="622" t="s">
        <v>32</v>
      </c>
      <c r="I7" s="621">
        <v>20</v>
      </c>
      <c r="J7" s="621">
        <v>10</v>
      </c>
      <c r="K7" s="621">
        <v>11</v>
      </c>
      <c r="L7" s="621">
        <v>13</v>
      </c>
      <c r="M7" s="621">
        <v>15</v>
      </c>
      <c r="N7" s="633">
        <v>900</v>
      </c>
      <c r="O7" s="625">
        <f>(J7-1)*(60/N7)</f>
        <v>0.6</v>
      </c>
      <c r="P7" s="625">
        <f>(K7-1)*(60/N7)</f>
        <v>0.666666666666667</v>
      </c>
      <c r="Q7" s="904">
        <f>(L7-1)*(60/N7)</f>
        <v>0.8</v>
      </c>
      <c r="R7" s="625">
        <f>(M7-1)*(60/N7)</f>
        <v>0.933333333333334</v>
      </c>
      <c r="S7" s="626">
        <f>E7*N7/60</f>
        <v>240</v>
      </c>
      <c r="T7" s="621">
        <v>36</v>
      </c>
      <c r="U7" s="621">
        <v>40</v>
      </c>
      <c r="V7" s="621">
        <v>44</v>
      </c>
      <c r="W7" s="621">
        <v>48</v>
      </c>
      <c r="X7" s="621">
        <f>W7*E7</f>
        <v>768</v>
      </c>
      <c r="Y7" s="627">
        <f>(W7-L7)/W7*100%</f>
        <v>0.729166666666667</v>
      </c>
      <c r="Z7" s="628">
        <f>($W7-L7)*60/$N7</f>
        <v>2.33333333333333</v>
      </c>
      <c r="AA7" s="634">
        <v>3.7</v>
      </c>
      <c r="AB7" s="634">
        <v>2.88</v>
      </c>
      <c r="AC7" s="630">
        <v>0.8695</v>
      </c>
      <c r="AD7" s="630">
        <v>0.58</v>
      </c>
      <c r="AE7" s="630">
        <v>0.232</v>
      </c>
      <c r="AF7" s="631">
        <v>51</v>
      </c>
      <c r="AG7" s="631">
        <v>54</v>
      </c>
      <c r="AH7" s="631">
        <v>50</v>
      </c>
      <c r="AI7" s="632" t="s"/>
    </row>
    <row r="8" spans="1:35" s="939" customFormat="1" ht="39" customHeight="1">
      <c r="A8" s="619">
        <f>ROW(D8)-5</f>
        <v>3</v>
      </c>
      <c r="B8" s="619" t="s">
        <v>484</v>
      </c>
      <c r="C8" s="619" t="s">
        <v>315</v>
      </c>
      <c r="D8" s="620" t="s">
        <v>82</v>
      </c>
      <c r="E8" s="621">
        <v>20</v>
      </c>
      <c r="F8" s="622" t="s">
        <v>83</v>
      </c>
      <c r="G8" s="621">
        <v>15</v>
      </c>
      <c r="H8" s="622" t="s">
        <v>32</v>
      </c>
      <c r="I8" s="621">
        <v>25</v>
      </c>
      <c r="J8" s="621">
        <v>8</v>
      </c>
      <c r="K8" s="621">
        <v>9</v>
      </c>
      <c r="L8" s="621">
        <v>10</v>
      </c>
      <c r="M8" s="621">
        <v>12</v>
      </c>
      <c r="N8" s="621">
        <v>672</v>
      </c>
      <c r="O8" s="625">
        <f>(J8-1)*(60/N8)</f>
        <v>0.625</v>
      </c>
      <c r="P8" s="625">
        <f>(K8-1)*(60/N8)</f>
        <v>0.714285714285714</v>
      </c>
      <c r="Q8" s="904">
        <f>(L8-1)*(60/N8)</f>
        <v>0.803571428571429</v>
      </c>
      <c r="R8" s="625">
        <f>(M8-1)*(60/N8)</f>
        <v>0.982142857142857</v>
      </c>
      <c r="S8" s="626">
        <f>E8*N8/60</f>
        <v>224</v>
      </c>
      <c r="T8" s="621">
        <v>18</v>
      </c>
      <c r="U8" s="621">
        <v>21</v>
      </c>
      <c r="V8" s="621">
        <v>25</v>
      </c>
      <c r="W8" s="621">
        <v>29</v>
      </c>
      <c r="X8" s="621">
        <f>W8*E8</f>
        <v>580</v>
      </c>
      <c r="Y8" s="627">
        <f>(W8-L8)/W8*100%</f>
        <v>0.655172413793104</v>
      </c>
      <c r="Z8" s="628">
        <f>($W8-L8)*60/$N8</f>
        <v>1.69642857142857</v>
      </c>
      <c r="AA8" s="634">
        <v>2.9</v>
      </c>
      <c r="AB8" s="634">
        <v>2.88</v>
      </c>
      <c r="AC8" s="630">
        <v>0.8695</v>
      </c>
      <c r="AD8" s="630">
        <v>0.58</v>
      </c>
      <c r="AE8" s="630">
        <v>0.29</v>
      </c>
      <c r="AF8" s="631">
        <v>52</v>
      </c>
      <c r="AG8" s="631">
        <v>60</v>
      </c>
      <c r="AH8" s="631">
        <v>66</v>
      </c>
      <c r="AI8" s="632" t="s"/>
    </row>
    <row r="9" spans="1:35" s="939" customFormat="1" ht="39" customHeight="1">
      <c r="A9" s="619">
        <f>ROW(D9)-5</f>
        <v>4</v>
      </c>
      <c r="B9" s="619" t="s">
        <v>486</v>
      </c>
      <c r="C9" s="619" t="s">
        <v>310</v>
      </c>
      <c r="D9" s="620" t="s">
        <v>487</v>
      </c>
      <c r="E9" s="621">
        <v>17</v>
      </c>
      <c r="F9" s="622" t="s">
        <v>50</v>
      </c>
      <c r="G9" s="621">
        <v>14</v>
      </c>
      <c r="H9" s="622" t="s">
        <v>72</v>
      </c>
      <c r="I9" s="621">
        <v>21</v>
      </c>
      <c r="J9" s="621">
        <v>9</v>
      </c>
      <c r="K9" s="621">
        <v>11</v>
      </c>
      <c r="L9" s="621">
        <v>12</v>
      </c>
      <c r="M9" s="621">
        <v>14</v>
      </c>
      <c r="N9" s="624">
        <v>790</v>
      </c>
      <c r="O9" s="625">
        <f>(J9-1)*(60/N9)</f>
        <v>0.607594936708861</v>
      </c>
      <c r="P9" s="625">
        <f>(K9-1)*(60/N9)</f>
        <v>0.759493670886076</v>
      </c>
      <c r="Q9" s="904">
        <f>(L9-1)*(60/N9)</f>
        <v>0.835443037974684</v>
      </c>
      <c r="R9" s="625">
        <f>(M9-1)*(60/N9)</f>
        <v>0.987341772151899</v>
      </c>
      <c r="S9" s="626">
        <f>E9*N9/60</f>
        <v>223.833333333333</v>
      </c>
      <c r="T9" s="621">
        <v>20</v>
      </c>
      <c r="U9" s="621">
        <v>25</v>
      </c>
      <c r="V9" s="621">
        <v>30</v>
      </c>
      <c r="W9" s="621">
        <v>35</v>
      </c>
      <c r="X9" s="621">
        <f>W9*E9</f>
        <v>595</v>
      </c>
      <c r="Y9" s="627">
        <f>(W9-L9)/W9*100%</f>
        <v>0.657142857142857</v>
      </c>
      <c r="Z9" s="628">
        <f>($W9-L9)*60/$N9</f>
        <v>1.74683544303798</v>
      </c>
      <c r="AA9" s="634">
        <v>2.3</v>
      </c>
      <c r="AB9" s="634">
        <v>1.8</v>
      </c>
      <c r="AC9" s="630">
        <v>0.8695</v>
      </c>
      <c r="AD9" s="630">
        <v>0.58</v>
      </c>
      <c r="AE9" s="630">
        <v>0.435</v>
      </c>
      <c r="AF9" s="631">
        <v>25</v>
      </c>
      <c r="AG9" s="631">
        <v>85</v>
      </c>
      <c r="AH9" s="631">
        <v>85</v>
      </c>
      <c r="AI9" s="632" t="s"/>
    </row>
    <row r="10" spans="1:35" s="939" customFormat="1" ht="39" customHeight="1">
      <c r="A10" s="619">
        <f>ROW(D10)-5</f>
        <v>5</v>
      </c>
      <c r="B10" s="619" t="s">
        <v>488</v>
      </c>
      <c r="C10" s="619" t="s">
        <v>323</v>
      </c>
      <c r="D10" s="620" t="s">
        <v>489</v>
      </c>
      <c r="E10" s="621">
        <v>56</v>
      </c>
      <c r="F10" s="622" t="s">
        <v>24</v>
      </c>
      <c r="G10" s="621">
        <v>56</v>
      </c>
      <c r="H10" s="622" t="s">
        <v>24</v>
      </c>
      <c r="I10" s="621">
        <v>56</v>
      </c>
      <c r="J10" s="621">
        <v>3</v>
      </c>
      <c r="K10" s="621">
        <v>4</v>
      </c>
      <c r="L10" s="621">
        <v>4</v>
      </c>
      <c r="M10" s="621">
        <v>5</v>
      </c>
      <c r="N10" s="912" t="s">
        <v>193</v>
      </c>
      <c r="O10" s="635">
        <v>0.7</v>
      </c>
      <c r="P10" s="636">
        <v>0.84</v>
      </c>
      <c r="Q10" s="905">
        <v>0.84</v>
      </c>
      <c r="R10" s="638">
        <v>1.4</v>
      </c>
      <c r="S10" s="639">
        <v>146</v>
      </c>
      <c r="T10" s="621">
        <v>8</v>
      </c>
      <c r="U10" s="621">
        <v>8</v>
      </c>
      <c r="V10" s="621">
        <v>8</v>
      </c>
      <c r="W10" s="621">
        <v>8</v>
      </c>
      <c r="X10" s="621">
        <f>W10*E10</f>
        <v>448</v>
      </c>
      <c r="Y10" s="627">
        <f>(W10-L10)/W10*100%</f>
        <v>0.5</v>
      </c>
      <c r="Z10" s="640">
        <v>1.4</v>
      </c>
      <c r="AA10" s="634">
        <v>2.2</v>
      </c>
      <c r="AB10" s="634">
        <v>2.07</v>
      </c>
      <c r="AC10" s="630">
        <v>0.8695</v>
      </c>
      <c r="AD10" s="630">
        <v>0.58</v>
      </c>
      <c r="AE10" s="630">
        <v>0.522</v>
      </c>
      <c r="AF10" s="631">
        <v>47</v>
      </c>
      <c r="AG10" s="631">
        <v>90</v>
      </c>
      <c r="AH10" s="631">
        <v>81</v>
      </c>
      <c r="AI10" s="632" t="s">
        <v>490</v>
      </c>
    </row>
    <row r="11" spans="1:35" s="939" customFormat="1" ht="39" customHeight="1">
      <c r="A11" s="619">
        <f>ROW(D11)-5</f>
        <v>6</v>
      </c>
      <c r="B11" s="619" t="s">
        <v>488</v>
      </c>
      <c r="C11" s="619" t="s">
        <v>323</v>
      </c>
      <c r="D11" s="620" t="s">
        <v>491</v>
      </c>
      <c r="E11" s="621">
        <v>51</v>
      </c>
      <c r="F11" s="622" t="s">
        <v>24</v>
      </c>
      <c r="G11" s="621">
        <v>51</v>
      </c>
      <c r="H11" s="622" t="s">
        <v>32</v>
      </c>
      <c r="I11" s="621">
        <v>63</v>
      </c>
      <c r="J11" s="621">
        <v>3</v>
      </c>
      <c r="K11" s="621">
        <v>4</v>
      </c>
      <c r="L11" s="621">
        <v>4</v>
      </c>
      <c r="M11" s="621">
        <v>5</v>
      </c>
      <c r="N11" s="621">
        <v>210</v>
      </c>
      <c r="O11" s="625">
        <f>(J11-1)*(60/N11)</f>
        <v>0.571428571428572</v>
      </c>
      <c r="P11" s="625">
        <f>(K11-1)*(60/N11)</f>
        <v>0.857142857142857</v>
      </c>
      <c r="Q11" s="904">
        <f>(L11-1)*(60/N11)</f>
        <v>0.857142857142857</v>
      </c>
      <c r="R11" s="625">
        <f>(M11-1)*(60/N11)</f>
        <v>1.14285714285714</v>
      </c>
      <c r="S11" s="626">
        <f>E11*N11/60</f>
        <v>178.5</v>
      </c>
      <c r="T11" s="621">
        <v>10</v>
      </c>
      <c r="U11" s="621">
        <v>10</v>
      </c>
      <c r="V11" s="621">
        <v>10</v>
      </c>
      <c r="W11" s="621">
        <v>10</v>
      </c>
      <c r="X11" s="621">
        <f>T11*E11</f>
        <v>510</v>
      </c>
      <c r="Y11" s="627">
        <f>(W11-L11)/W11*100%</f>
        <v>0.6</v>
      </c>
      <c r="Z11" s="628">
        <f>($W11-L11)*60/$N11</f>
        <v>1.71428571428571</v>
      </c>
      <c r="AA11" s="634">
        <v>2.7</v>
      </c>
      <c r="AB11" s="634">
        <v>2.3</v>
      </c>
      <c r="AC11" s="630">
        <v>0.8695</v>
      </c>
      <c r="AD11" s="630">
        <v>0.58</v>
      </c>
      <c r="AE11" s="630">
        <v>0.522</v>
      </c>
      <c r="AF11" s="631">
        <v>48</v>
      </c>
      <c r="AG11" s="631">
        <v>88</v>
      </c>
      <c r="AH11" s="631">
        <v>79</v>
      </c>
      <c r="AI11" s="632" t="s"/>
    </row>
    <row r="12" spans="1:35" s="939" customFormat="1" ht="39" customHeight="1">
      <c r="A12" s="619">
        <f>ROW(D12)-5</f>
        <v>7</v>
      </c>
      <c r="B12" s="619" t="s">
        <v>484</v>
      </c>
      <c r="C12" s="619" t="s">
        <v>315</v>
      </c>
      <c r="D12" s="620" t="s">
        <v>492</v>
      </c>
      <c r="E12" s="621">
        <v>17</v>
      </c>
      <c r="F12" s="622" t="s">
        <v>83</v>
      </c>
      <c r="G12" s="621">
        <v>13</v>
      </c>
      <c r="H12" s="622" t="s">
        <v>108</v>
      </c>
      <c r="I12" s="621">
        <v>22</v>
      </c>
      <c r="J12" s="621">
        <v>9</v>
      </c>
      <c r="K12" s="621">
        <v>11</v>
      </c>
      <c r="L12" s="621">
        <v>12</v>
      </c>
      <c r="M12" s="621">
        <v>14</v>
      </c>
      <c r="N12" s="624" t="s">
        <v>193</v>
      </c>
      <c r="O12" s="640">
        <v>0.7</v>
      </c>
      <c r="P12" s="624">
        <v>0.82</v>
      </c>
      <c r="Q12" s="906">
        <v>0.87</v>
      </c>
      <c r="R12" s="624">
        <v>1.12</v>
      </c>
      <c r="S12" s="639">
        <v>193</v>
      </c>
      <c r="T12" s="621">
        <v>20</v>
      </c>
      <c r="U12" s="621">
        <v>24</v>
      </c>
      <c r="V12" s="621">
        <v>28</v>
      </c>
      <c r="W12" s="621">
        <v>32</v>
      </c>
      <c r="X12" s="621">
        <f>W12*E12</f>
        <v>544</v>
      </c>
      <c r="Y12" s="627">
        <f>(W12-L12)/W12*100%</f>
        <v>0.625</v>
      </c>
      <c r="Z12" s="640">
        <v>1.39</v>
      </c>
      <c r="AA12" s="634">
        <v>2.7</v>
      </c>
      <c r="AB12" s="634">
        <v>2.43</v>
      </c>
      <c r="AC12" s="630">
        <v>0.8695</v>
      </c>
      <c r="AD12" s="630">
        <v>0.58</v>
      </c>
      <c r="AE12" s="630">
        <v>0.29</v>
      </c>
      <c r="AF12" s="631">
        <v>70</v>
      </c>
      <c r="AG12" s="631">
        <v>65</v>
      </c>
      <c r="AH12" s="631">
        <v>66</v>
      </c>
      <c r="AI12" s="632" t="s"/>
    </row>
    <row r="13" spans="1:35" s="939" customFormat="1" ht="39" customHeight="1">
      <c r="A13" s="619">
        <f>ROW(D13)-5</f>
        <v>8</v>
      </c>
      <c r="B13" s="619" t="s">
        <v>493</v>
      </c>
      <c r="C13" s="619" t="s">
        <v>494</v>
      </c>
      <c r="D13" s="620" t="s">
        <v>495</v>
      </c>
      <c r="E13" s="624" t="s">
        <v>151</v>
      </c>
      <c r="F13" s="622" t="s">
        <v>31</v>
      </c>
      <c r="G13" s="624" t="s">
        <v>152</v>
      </c>
      <c r="H13" s="622" t="s">
        <v>32</v>
      </c>
      <c r="I13" s="624" t="s">
        <v>153</v>
      </c>
      <c r="J13" s="621">
        <v>6</v>
      </c>
      <c r="K13" s="621">
        <v>7</v>
      </c>
      <c r="L13" s="621">
        <v>8</v>
      </c>
      <c r="M13" s="621">
        <v>10</v>
      </c>
      <c r="N13" s="621">
        <v>480</v>
      </c>
      <c r="O13" s="625">
        <f>(J13-1)*(60/N13)</f>
        <v>0.625</v>
      </c>
      <c r="P13" s="625">
        <f>(K13-1)*(60/N13)</f>
        <v>0.75</v>
      </c>
      <c r="Q13" s="904">
        <f>(L13-1)*(60/N13)</f>
        <v>0.875</v>
      </c>
      <c r="R13" s="625">
        <f>(M13-1)*(60/N13)</f>
        <v>1.125</v>
      </c>
      <c r="S13" s="639" t="s">
        <v>193</v>
      </c>
      <c r="T13" s="621">
        <v>18</v>
      </c>
      <c r="U13" s="621">
        <v>20</v>
      </c>
      <c r="V13" s="621">
        <v>22</v>
      </c>
      <c r="W13" s="621">
        <v>24</v>
      </c>
      <c r="X13" s="624" t="s">
        <v>496</v>
      </c>
      <c r="Y13" s="627">
        <f>(W13-L13)/W13*100%</f>
        <v>0.666666666666667</v>
      </c>
      <c r="Z13" s="628">
        <f>($W13-L13)*60/$N13</f>
        <v>2</v>
      </c>
      <c r="AA13" s="634">
        <v>2.6</v>
      </c>
      <c r="AB13" s="634">
        <v>2.1</v>
      </c>
      <c r="AC13" s="630">
        <v>0.8695</v>
      </c>
      <c r="AD13" s="630">
        <f>173.5/299</f>
        <v>0.580267558528428</v>
      </c>
      <c r="AE13" s="630">
        <f>173.5/299</f>
        <v>0.580267558528428</v>
      </c>
      <c r="AF13" s="631">
        <v>38</v>
      </c>
      <c r="AG13" s="631">
        <v>89</v>
      </c>
      <c r="AH13" s="631">
        <v>81</v>
      </c>
      <c r="AI13" s="632" t="s"/>
    </row>
    <row r="14" spans="1:35" s="939" customFormat="1" ht="39" customHeight="1">
      <c r="A14" s="619">
        <f>ROW(D14)-5</f>
        <v>9</v>
      </c>
      <c r="B14" s="619" t="s">
        <v>493</v>
      </c>
      <c r="C14" s="619" t="s">
        <v>310</v>
      </c>
      <c r="D14" s="620" t="s">
        <v>154</v>
      </c>
      <c r="E14" s="621">
        <v>12</v>
      </c>
      <c r="F14" s="622" t="s">
        <v>50</v>
      </c>
      <c r="G14" s="621">
        <v>10</v>
      </c>
      <c r="H14" s="622" t="s">
        <v>32</v>
      </c>
      <c r="I14" s="621">
        <v>15</v>
      </c>
      <c r="J14" s="621">
        <v>13</v>
      </c>
      <c r="K14" s="621">
        <v>15</v>
      </c>
      <c r="L14" s="621">
        <v>17</v>
      </c>
      <c r="M14" s="621">
        <v>19</v>
      </c>
      <c r="N14" s="621">
        <v>1080</v>
      </c>
      <c r="O14" s="625">
        <f>(J14-1)*(60/N14)</f>
        <v>0.666666666666667</v>
      </c>
      <c r="P14" s="625">
        <f>(K14-1)*(60/N14)</f>
        <v>0.777777777777778</v>
      </c>
      <c r="Q14" s="904">
        <f>(L14-1)*(60/N14)</f>
        <v>0.888888888888889</v>
      </c>
      <c r="R14" s="625">
        <f>(M14-1)*(60/N14)</f>
        <v>1</v>
      </c>
      <c r="S14" s="626">
        <f>E14*N14/60</f>
        <v>216</v>
      </c>
      <c r="T14" s="621">
        <v>18</v>
      </c>
      <c r="U14" s="621">
        <v>21</v>
      </c>
      <c r="V14" s="621">
        <v>24</v>
      </c>
      <c r="W14" s="621">
        <v>27</v>
      </c>
      <c r="X14" s="621">
        <f>W14*E14</f>
        <v>324</v>
      </c>
      <c r="Y14" s="627">
        <f>(W14-L14)/W14*100%</f>
        <v>0.37037037037037</v>
      </c>
      <c r="Z14" s="628">
        <f>($W14-L14)*60/$N14</f>
        <v>0.555555555555556</v>
      </c>
      <c r="AA14" s="634">
        <v>2.2</v>
      </c>
      <c r="AB14" s="634">
        <v>1.62</v>
      </c>
      <c r="AC14" s="630">
        <v>0.8695</v>
      </c>
      <c r="AD14" s="630">
        <f>173.5/299</f>
        <v>0.580267558528428</v>
      </c>
      <c r="AE14" s="630">
        <v>0.435</v>
      </c>
      <c r="AF14" s="631">
        <v>20</v>
      </c>
      <c r="AG14" s="631">
        <v>79</v>
      </c>
      <c r="AH14" s="631">
        <v>85</v>
      </c>
      <c r="AI14" s="632" t="s"/>
    </row>
    <row r="15" spans="1:35" s="939" customFormat="1" ht="39" customHeight="1">
      <c r="A15" s="619">
        <f>ROW(D15)-5</f>
        <v>10</v>
      </c>
      <c r="B15" s="619" t="s">
        <v>488</v>
      </c>
      <c r="C15" s="619" t="s">
        <v>323</v>
      </c>
      <c r="D15" s="620" t="s">
        <v>497</v>
      </c>
      <c r="E15" s="621">
        <v>56</v>
      </c>
      <c r="F15" s="622" t="s">
        <v>24</v>
      </c>
      <c r="G15" s="621">
        <v>56</v>
      </c>
      <c r="H15" s="622" t="s">
        <v>24</v>
      </c>
      <c r="I15" s="621">
        <v>56</v>
      </c>
      <c r="J15" s="621">
        <v>3</v>
      </c>
      <c r="K15" s="621">
        <v>4</v>
      </c>
      <c r="L15" s="621">
        <v>4</v>
      </c>
      <c r="M15" s="621">
        <v>5</v>
      </c>
      <c r="N15" s="621">
        <v>202</v>
      </c>
      <c r="O15" s="625">
        <f>(J15-1)*(60/N15)</f>
        <v>0.594059405940594</v>
      </c>
      <c r="P15" s="625">
        <f>(K15-1)*(60/N15)</f>
        <v>0.891089108910891</v>
      </c>
      <c r="Q15" s="904">
        <f>(L15-1)*(60/N15)</f>
        <v>0.891089108910891</v>
      </c>
      <c r="R15" s="625">
        <f>(M15-1)*(60/N15)</f>
        <v>1.18811881188119</v>
      </c>
      <c r="S15" s="626">
        <f>E15*N15/60</f>
        <v>188.533333333333</v>
      </c>
      <c r="T15" s="621">
        <v>8</v>
      </c>
      <c r="U15" s="621">
        <v>8</v>
      </c>
      <c r="V15" s="621">
        <v>8</v>
      </c>
      <c r="W15" s="621">
        <v>8</v>
      </c>
      <c r="X15" s="621">
        <f>T15*E15</f>
        <v>448</v>
      </c>
      <c r="Y15" s="627">
        <f>(W15-L15)/W15*100%</f>
        <v>0.5</v>
      </c>
      <c r="Z15" s="628">
        <f>($W15-L15)*60/$N15</f>
        <v>1.18811881188119</v>
      </c>
      <c r="AA15" s="634">
        <v>2.2</v>
      </c>
      <c r="AB15" s="634">
        <v>2.07</v>
      </c>
      <c r="AC15" s="630">
        <v>0.8695</v>
      </c>
      <c r="AD15" s="630">
        <v>0.58</v>
      </c>
      <c r="AE15" s="630">
        <v>0.522</v>
      </c>
      <c r="AF15" s="631">
        <v>47</v>
      </c>
      <c r="AG15" s="631">
        <v>90</v>
      </c>
      <c r="AH15" s="631">
        <v>81</v>
      </c>
      <c r="AI15" s="632" t="s"/>
    </row>
    <row r="16" spans="1:35" s="939" customFormat="1" ht="39" customHeight="1">
      <c r="A16" s="619">
        <f>ROW(D16)-5</f>
        <v>11</v>
      </c>
      <c r="B16" s="619" t="s">
        <v>486</v>
      </c>
      <c r="C16" s="619" t="s">
        <v>315</v>
      </c>
      <c r="D16" s="620" t="s">
        <v>498</v>
      </c>
      <c r="E16" s="621">
        <v>20</v>
      </c>
      <c r="F16" s="622" t="s">
        <v>83</v>
      </c>
      <c r="G16" s="621">
        <v>15</v>
      </c>
      <c r="H16" s="622" t="s">
        <v>108</v>
      </c>
      <c r="I16" s="621">
        <v>26</v>
      </c>
      <c r="J16" s="621">
        <v>8</v>
      </c>
      <c r="K16" s="621">
        <v>9</v>
      </c>
      <c r="L16" s="621">
        <v>10</v>
      </c>
      <c r="M16" s="621">
        <v>12</v>
      </c>
      <c r="N16" s="621">
        <v>600</v>
      </c>
      <c r="O16" s="625">
        <f t="array" ref="O16">(J16-1)*(60/INDEX($N$6:$N$64,MATCH("平行步枪（普通）",$D$6:$D$64,0)))</f>
        <v>0.7</v>
      </c>
      <c r="P16" s="625">
        <f t="array" ref="P16">(K16-1)*(60/INDEX($N$6:$N$64,MATCH("平行步枪（普通）",$D$6:$D$64,0)))</f>
        <v>0.8</v>
      </c>
      <c r="Q16" s="904">
        <f t="array" ref="Q16">(L16-1)*(60/INDEX($N$6:$N$64,MATCH("平行步枪（普通）",$D$6:$D$64,0)))</f>
        <v>0.9</v>
      </c>
      <c r="R16" s="625">
        <f t="array" ref="R16">(M16-1)*(60/INDEX($N$6:$N$64,MATCH("平行步枪（普通）",$D$6:$D$64,0)))</f>
        <v>1.1</v>
      </c>
      <c r="S16" s="626">
        <v>178.5</v>
      </c>
      <c r="T16" s="621">
        <v>21</v>
      </c>
      <c r="U16" s="621">
        <v>25</v>
      </c>
      <c r="V16" s="621">
        <v>29</v>
      </c>
      <c r="W16" s="621">
        <v>31</v>
      </c>
      <c r="X16" s="621">
        <f>W16*E16</f>
        <v>620</v>
      </c>
      <c r="Y16" s="627">
        <f>(W16-L16)/W16*100%</f>
        <v>0.67741935483871</v>
      </c>
      <c r="Z16" s="628">
        <f>($W16-L16)*60/$N16</f>
        <v>2.1</v>
      </c>
      <c r="AA16" s="634">
        <v>2.2</v>
      </c>
      <c r="AB16" s="634">
        <v>1.728</v>
      </c>
      <c r="AC16" s="630">
        <v>0.8695</v>
      </c>
      <c r="AD16" s="630">
        <v>0.58</v>
      </c>
      <c r="AE16" s="630">
        <v>0.29</v>
      </c>
      <c r="AF16" s="631">
        <v>73</v>
      </c>
      <c r="AG16" s="631">
        <v>74</v>
      </c>
      <c r="AH16" s="631">
        <v>78</v>
      </c>
      <c r="AI16" s="632" t="s"/>
    </row>
    <row r="17" spans="1:35" s="939" customFormat="1" ht="39" customHeight="1">
      <c r="A17" s="619">
        <f>ROW(D17)-5</f>
        <v>12</v>
      </c>
      <c r="B17" s="619" t="s">
        <v>486</v>
      </c>
      <c r="C17" s="619" t="s">
        <v>315</v>
      </c>
      <c r="D17" s="620" t="s">
        <v>499</v>
      </c>
      <c r="E17" s="621">
        <v>20</v>
      </c>
      <c r="F17" s="622" t="s">
        <v>83</v>
      </c>
      <c r="G17" s="621">
        <v>15</v>
      </c>
      <c r="H17" s="622" t="s">
        <v>108</v>
      </c>
      <c r="I17" s="621">
        <v>26</v>
      </c>
      <c r="J17" s="621">
        <v>8</v>
      </c>
      <c r="K17" s="621">
        <v>9</v>
      </c>
      <c r="L17" s="621">
        <v>10</v>
      </c>
      <c r="M17" s="621">
        <v>12</v>
      </c>
      <c r="N17" s="621">
        <v>600</v>
      </c>
      <c r="O17" s="625">
        <f>(J17-1)*(60/N17)</f>
        <v>0.7</v>
      </c>
      <c r="P17" s="625">
        <f>(K17-1)*(60/N17)</f>
        <v>0.8</v>
      </c>
      <c r="Q17" s="904">
        <f>(L17-1)*(60/N17)</f>
        <v>0.9</v>
      </c>
      <c r="R17" s="625">
        <f>(M17-1)*(60/N17)</f>
        <v>1.1</v>
      </c>
      <c r="S17" s="626">
        <v>178.5</v>
      </c>
      <c r="T17" s="621">
        <v>19</v>
      </c>
      <c r="U17" s="621">
        <v>23</v>
      </c>
      <c r="V17" s="621">
        <v>27</v>
      </c>
      <c r="W17" s="621">
        <v>29</v>
      </c>
      <c r="X17" s="621">
        <f>W17*E17</f>
        <v>580</v>
      </c>
      <c r="Y17" s="627">
        <f>(W17-L17)/W17*100%</f>
        <v>0.655172413793104</v>
      </c>
      <c r="Z17" s="628">
        <f>($W17-L17)*60/$N17</f>
        <v>1.9</v>
      </c>
      <c r="AA17" s="634">
        <v>2.8</v>
      </c>
      <c r="AB17" s="634">
        <v>2.16</v>
      </c>
      <c r="AC17" s="630">
        <v>0.8695</v>
      </c>
      <c r="AD17" s="630">
        <v>0.58</v>
      </c>
      <c r="AE17" s="630">
        <v>0.29</v>
      </c>
      <c r="AF17" s="631">
        <v>61</v>
      </c>
      <c r="AG17" s="631">
        <v>65</v>
      </c>
      <c r="AH17" s="631">
        <v>66</v>
      </c>
      <c r="AI17" s="632" t="s"/>
    </row>
    <row r="18" spans="1:35" s="939" customFormat="1" ht="39" customHeight="1">
      <c r="A18" s="619">
        <f>ROW(D18)-5</f>
        <v>13</v>
      </c>
      <c r="B18" s="619" t="s">
        <v>486</v>
      </c>
      <c r="C18" s="619" t="s">
        <v>310</v>
      </c>
      <c r="D18" s="620" t="s">
        <v>500</v>
      </c>
      <c r="E18" s="621">
        <v>14</v>
      </c>
      <c r="F18" s="622" t="s">
        <v>50</v>
      </c>
      <c r="G18" s="621">
        <v>11</v>
      </c>
      <c r="H18" s="622" t="s">
        <v>108</v>
      </c>
      <c r="I18" s="621">
        <v>18</v>
      </c>
      <c r="J18" s="621">
        <v>11</v>
      </c>
      <c r="K18" s="621">
        <v>13</v>
      </c>
      <c r="L18" s="621">
        <v>15</v>
      </c>
      <c r="M18" s="621">
        <v>17</v>
      </c>
      <c r="N18" s="621">
        <v>930</v>
      </c>
      <c r="O18" s="625">
        <f>(J18-1)*(60/N18)</f>
        <v>0.645161290322581</v>
      </c>
      <c r="P18" s="625">
        <f>(K18-1)*(60/N18)</f>
        <v>0.774193548387097</v>
      </c>
      <c r="Q18" s="904">
        <f>(L18-1)*(60/N18)</f>
        <v>0.903225806451613</v>
      </c>
      <c r="R18" s="625">
        <f>(M18-1)*(60/N18)</f>
        <v>1.03225806451613</v>
      </c>
      <c r="S18" s="626">
        <f>E18*N18/60</f>
        <v>217</v>
      </c>
      <c r="T18" s="621">
        <v>20</v>
      </c>
      <c r="U18" s="621">
        <v>23</v>
      </c>
      <c r="V18" s="621">
        <v>26</v>
      </c>
      <c r="W18" s="621">
        <v>30</v>
      </c>
      <c r="X18" s="621">
        <f>W18*E18</f>
        <v>420</v>
      </c>
      <c r="Y18" s="627">
        <f>(W18-L18)/W18*100%</f>
        <v>0.5</v>
      </c>
      <c r="Z18" s="628">
        <f>($W18-L18)*60/$N18</f>
        <v>0.967741935483871</v>
      </c>
      <c r="AA18" s="634">
        <v>1.9</v>
      </c>
      <c r="AB18" s="634">
        <v>1.53</v>
      </c>
      <c r="AC18" s="630">
        <v>0.8695</v>
      </c>
      <c r="AD18" s="630">
        <v>0.58</v>
      </c>
      <c r="AE18" s="630">
        <v>0.435</v>
      </c>
      <c r="AF18" s="631">
        <v>32</v>
      </c>
      <c r="AG18" s="631">
        <v>86</v>
      </c>
      <c r="AH18" s="631">
        <v>84</v>
      </c>
      <c r="AI18" s="632" t="s"/>
    </row>
    <row r="19" spans="1:35" s="939" customFormat="1" ht="39" customHeight="1">
      <c r="A19" s="619">
        <f>ROW(D19)-5</f>
        <v>14</v>
      </c>
      <c r="B19" s="619" t="s">
        <v>493</v>
      </c>
      <c r="C19" s="619" t="s">
        <v>310</v>
      </c>
      <c r="D19" s="620" t="s">
        <v>501</v>
      </c>
      <c r="E19" s="621">
        <v>28</v>
      </c>
      <c r="F19" s="622" t="s">
        <v>50</v>
      </c>
      <c r="G19" s="621">
        <v>22</v>
      </c>
      <c r="H19" s="622" t="s">
        <v>32</v>
      </c>
      <c r="I19" s="621">
        <v>36</v>
      </c>
      <c r="J19" s="621">
        <v>6</v>
      </c>
      <c r="K19" s="621">
        <v>7</v>
      </c>
      <c r="L19" s="621">
        <v>8</v>
      </c>
      <c r="M19" s="621">
        <v>9</v>
      </c>
      <c r="N19" s="624">
        <v>460</v>
      </c>
      <c r="O19" s="625">
        <f>(J19-1)*(60/N19)</f>
        <v>0.652173913043478</v>
      </c>
      <c r="P19" s="625">
        <f>(K19-1)*(60/N19)</f>
        <v>0.782608695652174</v>
      </c>
      <c r="Q19" s="904">
        <f>(L19-1)*(60/N19)</f>
        <v>0.91304347826087</v>
      </c>
      <c r="R19" s="625">
        <f>(M19-1)*(60/N19)</f>
        <v>1.04347826086957</v>
      </c>
      <c r="S19" s="626">
        <f>E19*N19/60</f>
        <v>214.666666666667</v>
      </c>
      <c r="T19" s="621">
        <v>18</v>
      </c>
      <c r="U19" s="621">
        <v>20</v>
      </c>
      <c r="V19" s="621">
        <v>22</v>
      </c>
      <c r="W19" s="621">
        <v>26</v>
      </c>
      <c r="X19" s="621">
        <f>W19*E19</f>
        <v>728</v>
      </c>
      <c r="Y19" s="627">
        <f>(W19-L19)/W19*100%</f>
        <v>0.692307692307692</v>
      </c>
      <c r="Z19" s="628">
        <f>($W19-L19)*60/$N19</f>
        <v>2.34782608695652</v>
      </c>
      <c r="AA19" s="634">
        <v>2</v>
      </c>
      <c r="AB19" s="634">
        <v>1.71</v>
      </c>
      <c r="AC19" s="630">
        <v>0.8695</v>
      </c>
      <c r="AD19" s="630">
        <v>0.58</v>
      </c>
      <c r="AE19" s="630">
        <v>0.435</v>
      </c>
      <c r="AF19" s="631">
        <v>40</v>
      </c>
      <c r="AG19" s="631">
        <v>92</v>
      </c>
      <c r="AH19" s="631">
        <v>85</v>
      </c>
      <c r="AI19" s="632" t="s">
        <v>502</v>
      </c>
    </row>
    <row r="20" spans="1:35" s="939" customFormat="1" ht="39" customHeight="1">
      <c r="A20" s="619">
        <f>ROW(D20)-5</f>
        <v>15</v>
      </c>
      <c r="B20" s="619" t="s">
        <v>486</v>
      </c>
      <c r="C20" s="619" t="s">
        <v>481</v>
      </c>
      <c r="D20" s="620" t="s">
        <v>556</v>
      </c>
      <c r="E20" s="621">
        <v>29</v>
      </c>
      <c r="F20" s="622" t="s">
        <v>159</v>
      </c>
      <c r="G20" s="621">
        <v>25</v>
      </c>
      <c r="H20" s="622" t="s">
        <v>32</v>
      </c>
      <c r="I20" s="621">
        <v>36</v>
      </c>
      <c r="J20" s="621">
        <v>6</v>
      </c>
      <c r="K20" s="621">
        <v>7</v>
      </c>
      <c r="L20" s="621">
        <v>7</v>
      </c>
      <c r="M20" s="621">
        <v>8</v>
      </c>
      <c r="N20" s="624">
        <v>391</v>
      </c>
      <c r="O20" s="925">
        <v>0.77</v>
      </c>
      <c r="P20" s="926">
        <v>0.92</v>
      </c>
      <c r="Q20" s="924">
        <v>0.92</v>
      </c>
      <c r="R20" s="925">
        <v>1.07</v>
      </c>
      <c r="S20" s="626">
        <f>E20*N20/60</f>
        <v>188.983333333333</v>
      </c>
      <c r="T20" s="621">
        <v>28</v>
      </c>
      <c r="U20" s="621">
        <v>32</v>
      </c>
      <c r="V20" s="621">
        <v>34</v>
      </c>
      <c r="W20" s="621">
        <v>40</v>
      </c>
      <c r="X20" s="621">
        <f>W20*E20</f>
        <v>1160</v>
      </c>
      <c r="Y20" s="627">
        <f>(W20-L20)/W20*100%</f>
        <v>0.825</v>
      </c>
      <c r="Z20" s="628">
        <f>($W20-L20)*60/$N20</f>
        <v>5.06393861892583</v>
      </c>
      <c r="AA20" s="634">
        <v>3.6</v>
      </c>
      <c r="AB20" s="634">
        <v>2.79</v>
      </c>
      <c r="AC20" s="630">
        <v>0.8695</v>
      </c>
      <c r="AD20" s="630">
        <v>0.58</v>
      </c>
      <c r="AE20" s="630">
        <v>0.2</v>
      </c>
      <c r="AF20" s="631">
        <v>69</v>
      </c>
      <c r="AG20" s="631">
        <v>54</v>
      </c>
      <c r="AH20" s="631">
        <v>50</v>
      </c>
      <c r="AI20" s="632" t="s"/>
    </row>
    <row r="21" spans="1:35" s="939" customFormat="1" ht="39" customHeight="1">
      <c r="A21" s="619">
        <f>ROW(D21)-5</f>
        <v>16</v>
      </c>
      <c r="B21" s="619" t="s">
        <v>486</v>
      </c>
      <c r="C21" s="619" t="s">
        <v>310</v>
      </c>
      <c r="D21" s="620" t="s">
        <v>594</v>
      </c>
      <c r="E21" s="621">
        <v>16</v>
      </c>
      <c r="F21" s="622" t="s">
        <v>50</v>
      </c>
      <c r="G21" s="621">
        <v>13</v>
      </c>
      <c r="H21" s="622" t="s">
        <v>72</v>
      </c>
      <c r="I21" s="621">
        <v>20</v>
      </c>
      <c r="J21" s="621">
        <v>10</v>
      </c>
      <c r="K21" s="621">
        <v>11</v>
      </c>
      <c r="L21" s="621">
        <v>13</v>
      </c>
      <c r="M21" s="621">
        <v>15</v>
      </c>
      <c r="N21" s="621" t="s">
        <v>193</v>
      </c>
      <c r="O21" s="624">
        <v>0.62</v>
      </c>
      <c r="P21" s="624">
        <v>0.84</v>
      </c>
      <c r="Q21" s="906">
        <v>0.94</v>
      </c>
      <c r="R21" s="624">
        <v>1.03</v>
      </c>
      <c r="S21" s="639">
        <v>191</v>
      </c>
      <c r="T21" s="621">
        <v>20</v>
      </c>
      <c r="U21" s="621">
        <v>25</v>
      </c>
      <c r="V21" s="621">
        <v>30</v>
      </c>
      <c r="W21" s="621">
        <v>35</v>
      </c>
      <c r="X21" s="621">
        <f>W21*E21</f>
        <v>560</v>
      </c>
      <c r="Y21" s="645">
        <f>(W21-L21)/W21*100%</f>
        <v>0.628571428571429</v>
      </c>
      <c r="Z21" s="640">
        <v>1.84</v>
      </c>
      <c r="AA21" s="634">
        <v>2.3</v>
      </c>
      <c r="AB21" s="634">
        <v>1.8</v>
      </c>
      <c r="AC21" s="630">
        <v>0.8695</v>
      </c>
      <c r="AD21" s="630">
        <v>0.58</v>
      </c>
      <c r="AE21" s="630">
        <v>0.435</v>
      </c>
      <c r="AF21" s="631">
        <v>25</v>
      </c>
      <c r="AG21" s="631">
        <v>85</v>
      </c>
      <c r="AH21" s="631">
        <v>85</v>
      </c>
      <c r="AI21" s="632" t="s"/>
    </row>
    <row r="22" spans="1:35" s="939" customFormat="1" ht="39" customHeight="1">
      <c r="A22" s="619">
        <f>ROW(D22)-5</f>
        <v>17</v>
      </c>
      <c r="B22" s="619" t="s">
        <v>493</v>
      </c>
      <c r="C22" s="619" t="s">
        <v>315</v>
      </c>
      <c r="D22" s="620" t="s">
        <v>164</v>
      </c>
      <c r="E22" s="621">
        <v>15</v>
      </c>
      <c r="F22" s="622" t="s">
        <v>83</v>
      </c>
      <c r="G22" s="621">
        <v>11</v>
      </c>
      <c r="H22" s="622" t="s">
        <v>108</v>
      </c>
      <c r="I22" s="621">
        <v>20</v>
      </c>
      <c r="J22" s="621">
        <v>10</v>
      </c>
      <c r="K22" s="621">
        <v>12</v>
      </c>
      <c r="L22" s="621">
        <v>14</v>
      </c>
      <c r="M22" s="621">
        <v>15</v>
      </c>
      <c r="N22" s="621">
        <v>810</v>
      </c>
      <c r="O22" s="625">
        <f>(J22-1)*(60/N22)</f>
        <v>0.666666666666667</v>
      </c>
      <c r="P22" s="625">
        <f>(K22-1)*(60/N22)</f>
        <v>0.814814814814815</v>
      </c>
      <c r="Q22" s="904">
        <f>(L22-1)*(60/N22)</f>
        <v>0.962962962962963</v>
      </c>
      <c r="R22" s="625">
        <f>(M22-1)*(60/N22)</f>
        <v>1.03703703703704</v>
      </c>
      <c r="S22" s="626">
        <f>E22*N22/60</f>
        <v>202.5</v>
      </c>
      <c r="T22" s="621">
        <v>21</v>
      </c>
      <c r="U22" s="621">
        <v>23</v>
      </c>
      <c r="V22" s="621">
        <v>28</v>
      </c>
      <c r="W22" s="621">
        <v>31</v>
      </c>
      <c r="X22" s="621">
        <f>W22*E22</f>
        <v>465</v>
      </c>
      <c r="Y22" s="627">
        <f>(W22-L22)/W22*100%</f>
        <v>0.548387096774194</v>
      </c>
      <c r="Z22" s="628">
        <f>($W22-L22)*60/$N22</f>
        <v>1.25925925925926</v>
      </c>
      <c r="AA22" s="634">
        <v>2.9</v>
      </c>
      <c r="AB22" s="634">
        <v>2.16</v>
      </c>
      <c r="AC22" s="630">
        <v>0.8695</v>
      </c>
      <c r="AD22" s="630">
        <v>0.58</v>
      </c>
      <c r="AE22" s="630">
        <v>0.29</v>
      </c>
      <c r="AF22" s="631">
        <v>75</v>
      </c>
      <c r="AG22" s="631">
        <v>64</v>
      </c>
      <c r="AH22" s="631">
        <v>66</v>
      </c>
      <c r="AI22" s="632" t="s"/>
    </row>
    <row r="23" spans="1:35" s="939" customFormat="1" ht="39" customHeight="1">
      <c r="A23" s="619">
        <f>ROW(D23)-5</f>
        <v>18</v>
      </c>
      <c r="B23" s="619" t="s">
        <v>493</v>
      </c>
      <c r="C23" s="619" t="s">
        <v>481</v>
      </c>
      <c r="D23" s="620" t="s">
        <v>503</v>
      </c>
      <c r="E23" s="621">
        <v>21</v>
      </c>
      <c r="F23" s="622" t="s">
        <v>50</v>
      </c>
      <c r="G23" s="621">
        <v>18</v>
      </c>
      <c r="H23" s="622" t="s">
        <v>32</v>
      </c>
      <c r="I23" s="621">
        <v>26</v>
      </c>
      <c r="J23" s="621">
        <v>8</v>
      </c>
      <c r="K23" s="621">
        <v>9</v>
      </c>
      <c r="L23" s="621">
        <v>10</v>
      </c>
      <c r="M23" s="621">
        <v>11</v>
      </c>
      <c r="N23" s="621">
        <v>540</v>
      </c>
      <c r="O23" s="625">
        <f>(J23-1)*(60/N23)</f>
        <v>0.777777777777778</v>
      </c>
      <c r="P23" s="625">
        <f>(K23-1)*(60/N23)</f>
        <v>0.888888888888889</v>
      </c>
      <c r="Q23" s="904">
        <f>(L23-1)*(60/N23)</f>
        <v>1</v>
      </c>
      <c r="R23" s="625">
        <f>(M23-1)*(60/N23)</f>
        <v>1.11111111111111</v>
      </c>
      <c r="S23" s="626">
        <f>E23*N23/60</f>
        <v>189</v>
      </c>
      <c r="T23" s="621">
        <v>35</v>
      </c>
      <c r="U23" s="621">
        <v>40</v>
      </c>
      <c r="V23" s="621">
        <v>45</v>
      </c>
      <c r="W23" s="621">
        <v>50</v>
      </c>
      <c r="X23" s="621">
        <f>W23*E23</f>
        <v>1050</v>
      </c>
      <c r="Y23" s="627">
        <f>(W23-L23)/W23*100%</f>
        <v>0.8</v>
      </c>
      <c r="Z23" s="628">
        <f>($W23-L23)*60/$N23</f>
        <v>4.44444444444445</v>
      </c>
      <c r="AA23" s="634">
        <v>3.8</v>
      </c>
      <c r="AB23" s="634">
        <v>3.06</v>
      </c>
      <c r="AC23" s="630">
        <v>0.8695</v>
      </c>
      <c r="AD23" s="630">
        <v>0.58</v>
      </c>
      <c r="AE23" s="630">
        <v>0.232</v>
      </c>
      <c r="AF23" s="631">
        <v>57</v>
      </c>
      <c r="AG23" s="631">
        <v>50</v>
      </c>
      <c r="AH23" s="631">
        <v>50</v>
      </c>
      <c r="AI23" s="632" t="s"/>
    </row>
    <row r="24" spans="1:35" s="939" customFormat="1" ht="39" customHeight="1">
      <c r="A24" s="619">
        <f>ROW(D24)-5</f>
        <v>19</v>
      </c>
      <c r="B24" s="619" t="s">
        <v>493</v>
      </c>
      <c r="C24" s="619" t="s">
        <v>494</v>
      </c>
      <c r="D24" s="620" t="s">
        <v>504</v>
      </c>
      <c r="E24" s="621">
        <v>24</v>
      </c>
      <c r="F24" s="622" t="s">
        <v>31</v>
      </c>
      <c r="G24" s="621">
        <v>22</v>
      </c>
      <c r="H24" s="622" t="s">
        <v>32</v>
      </c>
      <c r="I24" s="621">
        <v>30</v>
      </c>
      <c r="J24" s="621">
        <v>7</v>
      </c>
      <c r="K24" s="621">
        <v>8</v>
      </c>
      <c r="L24" s="621">
        <v>9</v>
      </c>
      <c r="M24" s="621">
        <v>10</v>
      </c>
      <c r="N24" s="621">
        <v>480</v>
      </c>
      <c r="O24" s="625">
        <f>(J24-1)*(60/N24)</f>
        <v>0.75</v>
      </c>
      <c r="P24" s="625">
        <f>(K24-1)*(60/N24)</f>
        <v>0.875</v>
      </c>
      <c r="Q24" s="904">
        <f>(L24-1)*(60/N24)</f>
        <v>1</v>
      </c>
      <c r="R24" s="625">
        <f>(M24-1)*(60/N24)</f>
        <v>1.125</v>
      </c>
      <c r="S24" s="626">
        <f>E24*N24/60</f>
        <v>192</v>
      </c>
      <c r="T24" s="621">
        <v>18</v>
      </c>
      <c r="U24" s="621">
        <v>20</v>
      </c>
      <c r="V24" s="621">
        <v>22</v>
      </c>
      <c r="W24" s="621">
        <v>24</v>
      </c>
      <c r="X24" s="621">
        <f>W24*E24</f>
        <v>576</v>
      </c>
      <c r="Y24" s="627">
        <f>(W24-L24)/W24*100%</f>
        <v>0.625</v>
      </c>
      <c r="Z24" s="628">
        <f>($W24-L24)*60/$N24</f>
        <v>1.875</v>
      </c>
      <c r="AA24" s="634">
        <v>2.6</v>
      </c>
      <c r="AB24" s="634">
        <v>2.1</v>
      </c>
      <c r="AC24" s="630">
        <v>0.8695</v>
      </c>
      <c r="AD24" s="630">
        <v>0.58</v>
      </c>
      <c r="AE24" s="630">
        <f>173.5/299</f>
        <v>0.580267558528428</v>
      </c>
      <c r="AF24" s="631">
        <v>38</v>
      </c>
      <c r="AG24" s="631">
        <v>89</v>
      </c>
      <c r="AH24" s="631">
        <v>81</v>
      </c>
      <c r="AI24" s="632" t="s"/>
    </row>
    <row r="25" spans="1:35" s="939" customFormat="1" ht="39" customHeight="1">
      <c r="A25" s="619">
        <f>ROW(D25)-5</f>
        <v>20</v>
      </c>
      <c r="B25" s="619" t="s">
        <v>484</v>
      </c>
      <c r="C25" s="619" t="s">
        <v>315</v>
      </c>
      <c r="D25" s="620" t="s">
        <v>505</v>
      </c>
      <c r="E25" s="621">
        <v>17</v>
      </c>
      <c r="F25" s="622" t="s">
        <v>83</v>
      </c>
      <c r="G25" s="621">
        <v>13</v>
      </c>
      <c r="H25" s="622" t="s">
        <v>108</v>
      </c>
      <c r="I25" s="621">
        <v>22</v>
      </c>
      <c r="J25" s="621">
        <v>9</v>
      </c>
      <c r="K25" s="621">
        <v>11</v>
      </c>
      <c r="L25" s="621">
        <v>12</v>
      </c>
      <c r="M25" s="621">
        <v>14</v>
      </c>
      <c r="N25" s="624" t="s">
        <v>193</v>
      </c>
      <c r="O25" s="624">
        <v>0.83</v>
      </c>
      <c r="P25" s="624">
        <v>0.94</v>
      </c>
      <c r="Q25" s="907">
        <v>1</v>
      </c>
      <c r="R25" s="624">
        <v>1.24</v>
      </c>
      <c r="S25" s="639" t="s">
        <v>193</v>
      </c>
      <c r="T25" s="621">
        <v>20</v>
      </c>
      <c r="U25" s="621">
        <v>24</v>
      </c>
      <c r="V25" s="621">
        <v>28</v>
      </c>
      <c r="W25" s="621">
        <v>32</v>
      </c>
      <c r="X25" s="621">
        <f>W25*E25</f>
        <v>544</v>
      </c>
      <c r="Y25" s="627">
        <f>(W25-L25)/W25*100%</f>
        <v>0.625</v>
      </c>
      <c r="Z25" s="640">
        <v>2.07</v>
      </c>
      <c r="AA25" s="634">
        <v>2.7</v>
      </c>
      <c r="AB25" s="634">
        <v>2.43</v>
      </c>
      <c r="AC25" s="630">
        <v>0.8695</v>
      </c>
      <c r="AD25" s="630">
        <v>0.58</v>
      </c>
      <c r="AE25" s="630">
        <v>0.29</v>
      </c>
      <c r="AF25" s="631">
        <v>70</v>
      </c>
      <c r="AG25" s="631">
        <v>65</v>
      </c>
      <c r="AH25" s="631">
        <v>66</v>
      </c>
      <c r="AI25" s="632" t="s"/>
    </row>
    <row r="26" spans="1:35" s="939" customFormat="1" ht="39" customHeight="1">
      <c r="A26" s="619">
        <f>ROW(D26)-5</f>
        <v>21</v>
      </c>
      <c r="B26" s="619" t="s">
        <v>484</v>
      </c>
      <c r="C26" s="619" t="s">
        <v>310</v>
      </c>
      <c r="D26" s="620" t="s">
        <v>506</v>
      </c>
      <c r="E26" s="621">
        <v>16</v>
      </c>
      <c r="F26" s="622" t="s">
        <v>50</v>
      </c>
      <c r="G26" s="621">
        <v>13</v>
      </c>
      <c r="H26" s="622" t="s">
        <v>72</v>
      </c>
      <c r="I26" s="621">
        <v>20</v>
      </c>
      <c r="J26" s="621">
        <v>10</v>
      </c>
      <c r="K26" s="621">
        <v>11</v>
      </c>
      <c r="L26" s="621">
        <v>13</v>
      </c>
      <c r="M26" s="621">
        <v>15</v>
      </c>
      <c r="N26" s="621">
        <v>720</v>
      </c>
      <c r="O26" s="625">
        <f t="array" ref="O26">(J26-1)*(60/INDEX($N$6:$N$64,MATCH("电能冲锋枪（普通）",$D$6:$D$64,0)))</f>
        <v>0.75</v>
      </c>
      <c r="P26" s="625">
        <f t="array" ref="P26">(K26-1)*(60/INDEX($N$6:$N$64,MATCH("电能冲锋枪（普通）",$D$6:$D$64,0)))</f>
        <v>0.833333333333333</v>
      </c>
      <c r="Q26" s="904">
        <f t="array" ref="Q26">(L26-1)*(60/INDEX($N$6:$N$64,MATCH("电能冲锋枪（普通）",$D$6:$D$64,0)))</f>
        <v>1</v>
      </c>
      <c r="R26" s="625">
        <f t="array" ref="R26">(M26-1)*(60/INDEX($N$6:$N$64,MATCH("电能冲锋枪（普通）",$D$6:$D$64,0)))</f>
        <v>1.16666666666667</v>
      </c>
      <c r="S26" s="626">
        <f t="array" ref="S26">E26*INDEX($N$6:$N$64,MATCH("电能冲锋枪（普通）",$D$6:$D$64,0))/60</f>
        <v>192</v>
      </c>
      <c r="T26" s="621">
        <v>22</v>
      </c>
      <c r="U26" s="621">
        <v>24</v>
      </c>
      <c r="V26" s="621">
        <v>26</v>
      </c>
      <c r="W26" s="621">
        <v>29</v>
      </c>
      <c r="X26" s="621">
        <f>W26*E26</f>
        <v>464</v>
      </c>
      <c r="Y26" s="627">
        <f>(W26-L26)/W26*100%</f>
        <v>0.551724137931035</v>
      </c>
      <c r="Z26" s="628">
        <f>($W26-L26)*60/$N26</f>
        <v>1.33333333333333</v>
      </c>
      <c r="AA26" s="634">
        <v>1.8</v>
      </c>
      <c r="AB26" s="634">
        <v>1.44</v>
      </c>
      <c r="AC26" s="630">
        <v>0.8695</v>
      </c>
      <c r="AD26" s="630">
        <v>0.58</v>
      </c>
      <c r="AE26" s="630">
        <v>0.435</v>
      </c>
      <c r="AF26" s="631">
        <v>55</v>
      </c>
      <c r="AG26" s="631">
        <v>96</v>
      </c>
      <c r="AH26" s="631">
        <v>90</v>
      </c>
      <c r="AI26" s="632" t="s"/>
    </row>
    <row r="27" spans="1:35" s="939" customFormat="1" ht="39" customHeight="1">
      <c r="A27" s="619">
        <f>ROW(D27)-5</f>
        <v>22</v>
      </c>
      <c r="B27" s="619" t="s">
        <v>484</v>
      </c>
      <c r="C27" s="619" t="s">
        <v>310</v>
      </c>
      <c r="D27" s="620" t="s">
        <v>507</v>
      </c>
      <c r="E27" s="621">
        <v>16</v>
      </c>
      <c r="F27" s="622" t="s">
        <v>50</v>
      </c>
      <c r="G27" s="621">
        <v>13</v>
      </c>
      <c r="H27" s="622" t="s">
        <v>72</v>
      </c>
      <c r="I27" s="621">
        <v>20</v>
      </c>
      <c r="J27" s="621">
        <v>10</v>
      </c>
      <c r="K27" s="621">
        <v>11</v>
      </c>
      <c r="L27" s="621">
        <v>13</v>
      </c>
      <c r="M27" s="621">
        <v>15</v>
      </c>
      <c r="N27" s="621">
        <v>720</v>
      </c>
      <c r="O27" s="625">
        <f>(J27-1)*(60/N27)</f>
        <v>0.75</v>
      </c>
      <c r="P27" s="625">
        <f>(K27-1)*(60/N27)</f>
        <v>0.833333333333333</v>
      </c>
      <c r="Q27" s="904">
        <f>(L27-1)*(60/N27)</f>
        <v>1</v>
      </c>
      <c r="R27" s="625">
        <f>(M27-1)*(60/N27)</f>
        <v>1.16666666666667</v>
      </c>
      <c r="S27" s="626">
        <f>E27*N27/60</f>
        <v>192</v>
      </c>
      <c r="T27" s="621">
        <v>20</v>
      </c>
      <c r="U27" s="621">
        <v>22</v>
      </c>
      <c r="V27" s="621">
        <v>24</v>
      </c>
      <c r="W27" s="621">
        <v>27</v>
      </c>
      <c r="X27" s="621">
        <f>W27*E27</f>
        <v>432</v>
      </c>
      <c r="Y27" s="627">
        <f>(W27-L27)/W27*100%</f>
        <v>0.518518518518519</v>
      </c>
      <c r="Z27" s="628">
        <f>($W27-L27)*60/$N27</f>
        <v>1.16666666666667</v>
      </c>
      <c r="AA27" s="634">
        <v>2.2</v>
      </c>
      <c r="AB27" s="634">
        <v>1.8</v>
      </c>
      <c r="AC27" s="630">
        <v>0.8695</v>
      </c>
      <c r="AD27" s="630">
        <v>0.58</v>
      </c>
      <c r="AE27" s="630">
        <v>0.435</v>
      </c>
      <c r="AF27" s="631">
        <v>55</v>
      </c>
      <c r="AG27" s="631">
        <v>85</v>
      </c>
      <c r="AH27" s="631">
        <v>83</v>
      </c>
      <c r="AI27" s="632" t="s"/>
    </row>
    <row r="28" spans="1:35" s="939" customFormat="1" ht="39" customHeight="1">
      <c r="A28" s="619">
        <f>ROW(D28)-5</f>
        <v>23</v>
      </c>
      <c r="B28" s="619" t="s">
        <v>508</v>
      </c>
      <c r="C28" s="619" t="s">
        <v>494</v>
      </c>
      <c r="D28" s="620" t="s">
        <v>509</v>
      </c>
      <c r="E28" s="621">
        <v>50</v>
      </c>
      <c r="F28" s="622" t="s">
        <v>31</v>
      </c>
      <c r="G28" s="621">
        <v>45</v>
      </c>
      <c r="H28" s="622" t="s">
        <v>184</v>
      </c>
      <c r="I28" s="622">
        <v>75</v>
      </c>
      <c r="J28" s="621">
        <v>3</v>
      </c>
      <c r="K28" s="621">
        <v>4</v>
      </c>
      <c r="L28" s="621">
        <v>4</v>
      </c>
      <c r="M28" s="621">
        <v>5</v>
      </c>
      <c r="N28" s="621">
        <v>168</v>
      </c>
      <c r="O28" s="625">
        <f>(J28-1)*(60/N28)</f>
        <v>0.714285714285714</v>
      </c>
      <c r="P28" s="625">
        <f>(K28-1)*(60/N28)</f>
        <v>1.07142857142857</v>
      </c>
      <c r="Q28" s="904">
        <f>(L28-1)*(60/N28)</f>
        <v>1.07142857142857</v>
      </c>
      <c r="R28" s="625">
        <f>(M28-1)*(60/N28)</f>
        <v>1.42857142857143</v>
      </c>
      <c r="S28" s="626">
        <f>E28*N28/60</f>
        <v>140</v>
      </c>
      <c r="T28" s="621">
        <v>5</v>
      </c>
      <c r="U28" s="621">
        <v>6</v>
      </c>
      <c r="V28" s="621">
        <v>7</v>
      </c>
      <c r="W28" s="621">
        <v>8</v>
      </c>
      <c r="X28" s="621">
        <f>W28*E28</f>
        <v>400</v>
      </c>
      <c r="Y28" s="627">
        <f>(W28-L28)/W28*100%</f>
        <v>0.5</v>
      </c>
      <c r="Z28" s="628">
        <f>($W28-L28)*60/$N28</f>
        <v>1.42857142857143</v>
      </c>
      <c r="AA28" s="634">
        <v>2.1</v>
      </c>
      <c r="AB28" s="634">
        <v>2.1</v>
      </c>
      <c r="AC28" s="630">
        <v>0.8695</v>
      </c>
      <c r="AD28" s="630">
        <v>0.58</v>
      </c>
      <c r="AE28" s="630">
        <f>173.5/299</f>
        <v>0.580267558528428</v>
      </c>
      <c r="AF28" s="631">
        <v>61</v>
      </c>
      <c r="AG28" s="631">
        <v>46</v>
      </c>
      <c r="AH28" s="631">
        <v>73</v>
      </c>
      <c r="AI28" s="632" t="s"/>
    </row>
    <row r="29" spans="1:35" s="939" customFormat="1" ht="39" customHeight="1">
      <c r="A29" s="619">
        <f>ROW(D29)-5</f>
        <v>24</v>
      </c>
      <c r="B29" s="619" t="s">
        <v>484</v>
      </c>
      <c r="C29" s="619" t="s">
        <v>481</v>
      </c>
      <c r="D29" s="620" t="s">
        <v>510</v>
      </c>
      <c r="E29" s="621">
        <v>16</v>
      </c>
      <c r="F29" s="622" t="s">
        <v>31</v>
      </c>
      <c r="G29" s="621">
        <v>14</v>
      </c>
      <c r="H29" s="622" t="s">
        <v>32</v>
      </c>
      <c r="I29" s="621">
        <v>20</v>
      </c>
      <c r="J29" s="621">
        <v>10</v>
      </c>
      <c r="K29" s="621">
        <v>11</v>
      </c>
      <c r="L29" s="621">
        <v>13</v>
      </c>
      <c r="M29" s="621">
        <v>15</v>
      </c>
      <c r="N29" s="633" t="s">
        <v>511</v>
      </c>
      <c r="O29" s="624">
        <v>0.87</v>
      </c>
      <c r="P29" s="624">
        <v>0.95</v>
      </c>
      <c r="Q29" s="906">
        <v>1.08</v>
      </c>
      <c r="R29" s="624">
        <v>1.22</v>
      </c>
      <c r="S29" s="639" t="s">
        <v>512</v>
      </c>
      <c r="T29" s="621">
        <v>36</v>
      </c>
      <c r="U29" s="621">
        <v>40</v>
      </c>
      <c r="V29" s="621">
        <v>44</v>
      </c>
      <c r="W29" s="621">
        <v>48</v>
      </c>
      <c r="X29" s="621">
        <f>W29*E29</f>
        <v>768</v>
      </c>
      <c r="Y29" s="627">
        <f>(W29-L29)/W29*100%</f>
        <v>0.729166666666667</v>
      </c>
      <c r="Z29" s="640">
        <v>2.34</v>
      </c>
      <c r="AA29" s="634">
        <v>3.7</v>
      </c>
      <c r="AB29" s="634">
        <v>2.88</v>
      </c>
      <c r="AC29" s="630">
        <v>0.8695</v>
      </c>
      <c r="AD29" s="630">
        <v>0.58</v>
      </c>
      <c r="AE29" s="630">
        <v>0.232</v>
      </c>
      <c r="AF29" s="631">
        <v>51</v>
      </c>
      <c r="AG29" s="631">
        <v>54</v>
      </c>
      <c r="AH29" s="631">
        <v>50</v>
      </c>
      <c r="AI29" s="632" t="s"/>
    </row>
    <row r="30" spans="1:35" s="939" customFormat="1" ht="39" customHeight="1">
      <c r="A30" s="619">
        <f>ROW(D30)-5</f>
        <v>25</v>
      </c>
      <c r="B30" s="619" t="s">
        <v>484</v>
      </c>
      <c r="C30" s="619" t="s">
        <v>315</v>
      </c>
      <c r="D30" s="620" t="s">
        <v>513</v>
      </c>
      <c r="E30" s="621">
        <v>17</v>
      </c>
      <c r="F30" s="622" t="s">
        <v>83</v>
      </c>
      <c r="G30" s="621">
        <v>13</v>
      </c>
      <c r="H30" s="622" t="s">
        <v>108</v>
      </c>
      <c r="I30" s="621">
        <v>22</v>
      </c>
      <c r="J30" s="621">
        <v>9</v>
      </c>
      <c r="K30" s="621">
        <v>11</v>
      </c>
      <c r="L30" s="621">
        <v>12</v>
      </c>
      <c r="M30" s="621">
        <v>14</v>
      </c>
      <c r="N30" s="633" t="s">
        <v>193</v>
      </c>
      <c r="O30" s="624">
        <v>0.91</v>
      </c>
      <c r="P30" s="624">
        <v>1.03</v>
      </c>
      <c r="Q30" s="906">
        <v>1.08</v>
      </c>
      <c r="R30" s="624">
        <v>1.38</v>
      </c>
      <c r="S30" s="639" t="s">
        <v>193</v>
      </c>
      <c r="T30" s="621">
        <v>20</v>
      </c>
      <c r="U30" s="621">
        <v>24</v>
      </c>
      <c r="V30" s="621">
        <v>28</v>
      </c>
      <c r="W30" s="621">
        <v>32</v>
      </c>
      <c r="X30" s="621">
        <f>W30*E30</f>
        <v>544</v>
      </c>
      <c r="Y30" s="627">
        <f>(W30-L30)/W30*100%</f>
        <v>0.625</v>
      </c>
      <c r="Z30" s="640">
        <v>1.92</v>
      </c>
      <c r="AA30" s="634">
        <v>2.7</v>
      </c>
      <c r="AB30" s="634">
        <v>2.43</v>
      </c>
      <c r="AC30" s="630">
        <v>0.8695</v>
      </c>
      <c r="AD30" s="630">
        <v>0.58</v>
      </c>
      <c r="AE30" s="630">
        <v>0.29</v>
      </c>
      <c r="AF30" s="631">
        <v>70</v>
      </c>
      <c r="AG30" s="631">
        <v>65</v>
      </c>
      <c r="AH30" s="631">
        <v>66</v>
      </c>
      <c r="AI30" s="632" t="s"/>
    </row>
    <row r="31" spans="1:35" s="939" customFormat="1" ht="39" customHeight="1">
      <c r="A31" s="619">
        <f>ROW(D31)-5</f>
        <v>26</v>
      </c>
      <c r="B31" s="619" t="s">
        <v>493</v>
      </c>
      <c r="C31" s="619" t="s">
        <v>310</v>
      </c>
      <c r="D31" s="620" t="s">
        <v>514</v>
      </c>
      <c r="E31" s="621">
        <v>18</v>
      </c>
      <c r="F31" s="622" t="s">
        <v>50</v>
      </c>
      <c r="G31" s="621">
        <v>14</v>
      </c>
      <c r="H31" s="622" t="s">
        <v>32</v>
      </c>
      <c r="I31" s="621">
        <v>23</v>
      </c>
      <c r="J31" s="621">
        <v>9</v>
      </c>
      <c r="K31" s="621">
        <v>10</v>
      </c>
      <c r="L31" s="621">
        <v>12</v>
      </c>
      <c r="M31" s="621">
        <v>13</v>
      </c>
      <c r="N31" s="621">
        <v>600</v>
      </c>
      <c r="O31" s="625">
        <f>(J31-1)*(60/N31)</f>
        <v>0.8</v>
      </c>
      <c r="P31" s="625">
        <f>(K31-1)*(60/N31)</f>
        <v>0.9</v>
      </c>
      <c r="Q31" s="904">
        <f>(L31-1)*(60/N31)</f>
        <v>1.1</v>
      </c>
      <c r="R31" s="625">
        <f>(M31-1)*(60/N31)</f>
        <v>1.2</v>
      </c>
      <c r="S31" s="626">
        <f>E31*N31/60</f>
        <v>180</v>
      </c>
      <c r="T31" s="621">
        <v>18</v>
      </c>
      <c r="U31" s="621">
        <v>20</v>
      </c>
      <c r="V31" s="621">
        <v>22</v>
      </c>
      <c r="W31" s="621">
        <v>26</v>
      </c>
      <c r="X31" s="621">
        <f>W31*E31</f>
        <v>468</v>
      </c>
      <c r="Y31" s="627">
        <f>(W31-L31)/W31*100%</f>
        <v>0.538461538461539</v>
      </c>
      <c r="Z31" s="628">
        <f>($W31-L31)*60/$N31</f>
        <v>1.4</v>
      </c>
      <c r="AA31" s="634">
        <v>2</v>
      </c>
      <c r="AB31" s="634">
        <v>1.71</v>
      </c>
      <c r="AC31" s="630">
        <v>0.8695</v>
      </c>
      <c r="AD31" s="630">
        <f>173.5/299</f>
        <v>0.580267558528428</v>
      </c>
      <c r="AE31" s="630">
        <v>0.435</v>
      </c>
      <c r="AF31" s="631">
        <v>40</v>
      </c>
      <c r="AG31" s="631">
        <v>92</v>
      </c>
      <c r="AH31" s="631">
        <v>85</v>
      </c>
      <c r="AI31" s="632" t="s"/>
    </row>
    <row r="32" spans="1:35" s="939" customFormat="1" ht="39" customHeight="1">
      <c r="A32" s="619">
        <f>ROW(D32)-5</f>
        <v>27</v>
      </c>
      <c r="B32" s="619" t="s">
        <v>484</v>
      </c>
      <c r="C32" s="619" t="s">
        <v>494</v>
      </c>
      <c r="D32" s="620" t="s">
        <v>172</v>
      </c>
      <c r="E32" s="621">
        <v>16</v>
      </c>
      <c r="F32" s="622" t="s">
        <v>31</v>
      </c>
      <c r="G32" s="621">
        <v>14</v>
      </c>
      <c r="H32" s="622" t="s">
        <v>32</v>
      </c>
      <c r="I32" s="621">
        <v>20</v>
      </c>
      <c r="J32" s="621">
        <v>10</v>
      </c>
      <c r="K32" s="621">
        <v>11</v>
      </c>
      <c r="L32" s="621">
        <v>13</v>
      </c>
      <c r="M32" s="621">
        <v>15</v>
      </c>
      <c r="N32" s="621">
        <v>643</v>
      </c>
      <c r="O32" s="625">
        <f>(J32-1)*(60/N32)</f>
        <v>0.839813374805599</v>
      </c>
      <c r="P32" s="625">
        <f>(K32-1)*(60/N32)</f>
        <v>0.933125972006221</v>
      </c>
      <c r="Q32" s="904">
        <f>(L32-1)*(60/N32)</f>
        <v>1.11975116640747</v>
      </c>
      <c r="R32" s="625">
        <f>(M32-1)*(60/N32)</f>
        <v>1.30637636080871</v>
      </c>
      <c r="S32" s="626">
        <f>E32*N32/60</f>
        <v>171.466666666667</v>
      </c>
      <c r="T32" s="621">
        <v>15</v>
      </c>
      <c r="U32" s="621">
        <v>18</v>
      </c>
      <c r="V32" s="621">
        <v>21</v>
      </c>
      <c r="W32" s="621">
        <v>24</v>
      </c>
      <c r="X32" s="621">
        <f>W32*E32</f>
        <v>384</v>
      </c>
      <c r="Y32" s="627">
        <f>(W32-L32)/W32*100%</f>
        <v>0.458333333333333</v>
      </c>
      <c r="Z32" s="628">
        <f>($W32-L32)*60/$N32</f>
        <v>1.02643856920684</v>
      </c>
      <c r="AA32" s="634">
        <v>2.3</v>
      </c>
      <c r="AB32" s="634">
        <v>1.9</v>
      </c>
      <c r="AC32" s="630">
        <v>0.8695</v>
      </c>
      <c r="AD32" s="630">
        <v>0.58</v>
      </c>
      <c r="AE32" s="630">
        <v>0.58</v>
      </c>
      <c r="AF32" s="631">
        <v>42</v>
      </c>
      <c r="AG32" s="631">
        <v>77</v>
      </c>
      <c r="AH32" s="631">
        <v>76</v>
      </c>
      <c r="AI32" s="632" t="s"/>
    </row>
    <row r="33" spans="1:35" s="939" customFormat="1" ht="39" customHeight="1">
      <c r="A33" s="619">
        <f>ROW(D33)-5</f>
        <v>28</v>
      </c>
      <c r="B33" s="619" t="s">
        <v>486</v>
      </c>
      <c r="C33" s="619" t="s">
        <v>315</v>
      </c>
      <c r="D33" s="620" t="s">
        <v>515</v>
      </c>
      <c r="E33" s="621">
        <v>21</v>
      </c>
      <c r="F33" s="622" t="s">
        <v>83</v>
      </c>
      <c r="G33" s="621">
        <v>16</v>
      </c>
      <c r="H33" s="622" t="s">
        <v>190</v>
      </c>
      <c r="I33" s="621">
        <v>29</v>
      </c>
      <c r="J33" s="621">
        <v>8</v>
      </c>
      <c r="K33" s="621">
        <v>9</v>
      </c>
      <c r="L33" s="621">
        <v>10</v>
      </c>
      <c r="M33" s="621">
        <v>11</v>
      </c>
      <c r="N33" s="621">
        <v>462</v>
      </c>
      <c r="O33" s="625">
        <f>(J33-1)*(60/N33)</f>
        <v>0.909090909090909</v>
      </c>
      <c r="P33" s="625">
        <f>(K33-1)*(60/N33)</f>
        <v>1.03896103896104</v>
      </c>
      <c r="Q33" s="904">
        <f>(L33-1)*(60/N33)</f>
        <v>1.16883116883117</v>
      </c>
      <c r="R33" s="625">
        <f>(M33-1)*(60/N33)</f>
        <v>1.2987012987013</v>
      </c>
      <c r="S33" s="626">
        <f>E33*N33/60</f>
        <v>161.7</v>
      </c>
      <c r="T33" s="621">
        <v>18</v>
      </c>
      <c r="U33" s="621">
        <v>20</v>
      </c>
      <c r="V33" s="621">
        <v>22</v>
      </c>
      <c r="W33" s="621">
        <v>25</v>
      </c>
      <c r="X33" s="621">
        <f>W33*E33</f>
        <v>525</v>
      </c>
      <c r="Y33" s="627">
        <f>(W33-L33)/W33*100%</f>
        <v>0.6</v>
      </c>
      <c r="Z33" s="628">
        <f>($W33-L33)*60/$N33</f>
        <v>1.94805194805195</v>
      </c>
      <c r="AA33" s="634">
        <v>2.3</v>
      </c>
      <c r="AB33" s="634">
        <v>2.07</v>
      </c>
      <c r="AC33" s="630">
        <v>0.8695</v>
      </c>
      <c r="AD33" s="630">
        <v>0.58</v>
      </c>
      <c r="AE33" s="630">
        <v>0.29</v>
      </c>
      <c r="AF33" s="631">
        <v>66</v>
      </c>
      <c r="AG33" s="631">
        <v>63</v>
      </c>
      <c r="AH33" s="631">
        <v>66</v>
      </c>
      <c r="AI33" s="632" t="s"/>
    </row>
    <row r="34" spans="1:35" s="939" customFormat="1" ht="39" customHeight="1">
      <c r="A34" s="619">
        <f>ROW(D34)-5</f>
        <v>29</v>
      </c>
      <c r="B34" s="619" t="s">
        <v>486</v>
      </c>
      <c r="C34" s="619" t="s">
        <v>481</v>
      </c>
      <c r="D34" s="620" t="s">
        <v>516</v>
      </c>
      <c r="E34" s="621">
        <v>29</v>
      </c>
      <c r="F34" s="622" t="s">
        <v>159</v>
      </c>
      <c r="G34" s="621">
        <v>25</v>
      </c>
      <c r="H34" s="622" t="s">
        <v>32</v>
      </c>
      <c r="I34" s="621">
        <v>36</v>
      </c>
      <c r="J34" s="621">
        <v>6</v>
      </c>
      <c r="K34" s="621">
        <v>7</v>
      </c>
      <c r="L34" s="621">
        <v>7</v>
      </c>
      <c r="M34" s="621">
        <v>8</v>
      </c>
      <c r="N34" s="621">
        <v>300</v>
      </c>
      <c r="O34" s="625">
        <f>(J34-1)*(60/N34)</f>
        <v>1</v>
      </c>
      <c r="P34" s="625">
        <f>(K34-1)*(60/N34)</f>
        <v>1.2</v>
      </c>
      <c r="Q34" s="904">
        <f>(L34-1)*(60/N34)</f>
        <v>1.2</v>
      </c>
      <c r="R34" s="625">
        <f>(M34-1)*(60/N34)</f>
        <v>1.4</v>
      </c>
      <c r="S34" s="626">
        <f>E34*N34/60</f>
        <v>145</v>
      </c>
      <c r="T34" s="621">
        <v>28</v>
      </c>
      <c r="U34" s="621">
        <v>32</v>
      </c>
      <c r="V34" s="621">
        <v>34</v>
      </c>
      <c r="W34" s="621">
        <v>40</v>
      </c>
      <c r="X34" s="621">
        <f>W34*E34</f>
        <v>1160</v>
      </c>
      <c r="Y34" s="627">
        <f>(W34-L34)/W34*100%</f>
        <v>0.825</v>
      </c>
      <c r="Z34" s="628">
        <f>($W34-L34)*60/$N34</f>
        <v>6.6</v>
      </c>
      <c r="AA34" s="634">
        <v>3.6</v>
      </c>
      <c r="AB34" s="634">
        <v>2.79</v>
      </c>
      <c r="AC34" s="630">
        <v>0.8695</v>
      </c>
      <c r="AD34" s="630">
        <v>0.58</v>
      </c>
      <c r="AE34" s="630">
        <v>0.2</v>
      </c>
      <c r="AF34" s="631">
        <v>69</v>
      </c>
      <c r="AG34" s="631">
        <v>54</v>
      </c>
      <c r="AH34" s="631">
        <v>50</v>
      </c>
      <c r="AI34" s="632" t="s"/>
    </row>
    <row r="35" spans="1:35" s="939" customFormat="1" ht="39" customHeight="1">
      <c r="A35" s="619">
        <f>ROW(D35)-5</f>
        <v>30</v>
      </c>
      <c r="B35" s="619" t="s">
        <v>493</v>
      </c>
      <c r="C35" s="619" t="s">
        <v>327</v>
      </c>
      <c r="D35" s="620" t="s">
        <v>517</v>
      </c>
      <c r="E35" s="621">
        <v>33</v>
      </c>
      <c r="F35" s="622" t="s">
        <v>83</v>
      </c>
      <c r="G35" s="621">
        <v>25</v>
      </c>
      <c r="H35" s="622" t="s">
        <v>221</v>
      </c>
      <c r="I35" s="621">
        <v>48</v>
      </c>
      <c r="J35" s="621">
        <v>5</v>
      </c>
      <c r="K35" s="621">
        <v>6</v>
      </c>
      <c r="L35" s="621">
        <v>7</v>
      </c>
      <c r="M35" s="621">
        <v>7</v>
      </c>
      <c r="N35" s="621">
        <v>295</v>
      </c>
      <c r="O35" s="625">
        <f>(J35-1)*(60/N35)</f>
        <v>0.813559322033899</v>
      </c>
      <c r="P35" s="625">
        <f>(K35-1)*(60/N35)</f>
        <v>1.01694915254237</v>
      </c>
      <c r="Q35" s="904">
        <f>(L35-1)*(60/N35)</f>
        <v>1.22033898305085</v>
      </c>
      <c r="R35" s="625">
        <f>(M35-1)*(60/N35)</f>
        <v>1.22033898305085</v>
      </c>
      <c r="S35" s="626">
        <f>E35*N35/60</f>
        <v>162.25</v>
      </c>
      <c r="T35" s="621">
        <v>10</v>
      </c>
      <c r="U35" s="621">
        <v>12</v>
      </c>
      <c r="V35" s="621">
        <v>14</v>
      </c>
      <c r="W35" s="621">
        <v>16</v>
      </c>
      <c r="X35" s="621">
        <f>W35*E35</f>
        <v>528</v>
      </c>
      <c r="Y35" s="627">
        <f>(W35-L35)/W35*100%</f>
        <v>0.5625</v>
      </c>
      <c r="Z35" s="628">
        <f>($W35-L35)*60/$N35</f>
        <v>1.83050847457627</v>
      </c>
      <c r="AA35" s="634">
        <v>2.7</v>
      </c>
      <c r="AB35" s="634">
        <v>2.16</v>
      </c>
      <c r="AC35" s="630">
        <v>0.8695</v>
      </c>
      <c r="AD35" s="630">
        <f>173.5/299</f>
        <v>0.580267558528428</v>
      </c>
      <c r="AE35" s="630">
        <v>0.247</v>
      </c>
      <c r="AF35" s="631">
        <v>82</v>
      </c>
      <c r="AG35" s="631">
        <v>45</v>
      </c>
      <c r="AH35" s="631">
        <v>70</v>
      </c>
      <c r="AI35" s="632" t="s"/>
    </row>
    <row r="36" spans="1:35" s="939" customFormat="1" ht="39" customHeight="1">
      <c r="A36" s="619">
        <f>ROW(D36)-5</f>
        <v>31</v>
      </c>
      <c r="B36" s="619" t="s">
        <v>484</v>
      </c>
      <c r="C36" s="619" t="s">
        <v>481</v>
      </c>
      <c r="D36" s="620" t="s">
        <v>518</v>
      </c>
      <c r="E36" s="621">
        <v>16</v>
      </c>
      <c r="F36" s="622" t="s">
        <v>31</v>
      </c>
      <c r="G36" s="621">
        <v>14</v>
      </c>
      <c r="H36" s="622" t="s">
        <v>32</v>
      </c>
      <c r="I36" s="621">
        <v>20</v>
      </c>
      <c r="J36" s="621">
        <v>10</v>
      </c>
      <c r="K36" s="621">
        <v>11</v>
      </c>
      <c r="L36" s="621">
        <v>13</v>
      </c>
      <c r="M36" s="621">
        <v>15</v>
      </c>
      <c r="N36" s="633" t="s">
        <v>519</v>
      </c>
      <c r="O36" s="624">
        <v>1.09</v>
      </c>
      <c r="P36" s="624">
        <v>1.18</v>
      </c>
      <c r="Q36" s="906">
        <v>1.33</v>
      </c>
      <c r="R36" s="624">
        <v>1.48</v>
      </c>
      <c r="S36" s="639" t="s">
        <v>520</v>
      </c>
      <c r="T36" s="621">
        <v>36</v>
      </c>
      <c r="U36" s="621">
        <v>40</v>
      </c>
      <c r="V36" s="621">
        <v>44</v>
      </c>
      <c r="W36" s="621">
        <v>48</v>
      </c>
      <c r="X36" s="621">
        <f>W36*E36</f>
        <v>768</v>
      </c>
      <c r="Y36" s="627">
        <f>(W36-L36)/W36*100%</f>
        <v>0.729166666666667</v>
      </c>
      <c r="Z36" s="640">
        <v>2.35</v>
      </c>
      <c r="AA36" s="634">
        <v>3.7</v>
      </c>
      <c r="AB36" s="634">
        <v>2.88</v>
      </c>
      <c r="AC36" s="630">
        <v>0.8695</v>
      </c>
      <c r="AD36" s="630">
        <v>0.58</v>
      </c>
      <c r="AE36" s="630">
        <v>0.232</v>
      </c>
      <c r="AF36" s="631">
        <v>51</v>
      </c>
      <c r="AG36" s="631">
        <v>54</v>
      </c>
      <c r="AH36" s="631">
        <v>50</v>
      </c>
      <c r="AI36" s="632" t="s"/>
    </row>
    <row r="37" spans="1:35" s="939" customFormat="1" ht="39" customHeight="1">
      <c r="A37" s="619">
        <f>ROW(D37)-5</f>
        <v>32</v>
      </c>
      <c r="B37" s="619" t="s">
        <v>521</v>
      </c>
      <c r="C37" s="619" t="s">
        <v>327</v>
      </c>
      <c r="D37" s="620" t="s">
        <v>522</v>
      </c>
      <c r="E37" s="621">
        <v>75</v>
      </c>
      <c r="F37" s="622" t="s">
        <v>50</v>
      </c>
      <c r="G37" s="621">
        <v>65</v>
      </c>
      <c r="H37" s="622" t="s">
        <v>210</v>
      </c>
      <c r="I37" s="621">
        <v>100</v>
      </c>
      <c r="J37" s="621">
        <v>2</v>
      </c>
      <c r="K37" s="621">
        <v>3</v>
      </c>
      <c r="L37" s="621">
        <v>3</v>
      </c>
      <c r="M37" s="621">
        <v>3</v>
      </c>
      <c r="N37" s="633">
        <v>90</v>
      </c>
      <c r="O37" s="625">
        <f>(J37-1)*(60/N37)</f>
        <v>0.666666666666667</v>
      </c>
      <c r="P37" s="625">
        <f>(K37-1)*(60/N37)</f>
        <v>1.33333333333333</v>
      </c>
      <c r="Q37" s="904">
        <f>(L37-1)*(60/N37)</f>
        <v>1.33333333333333</v>
      </c>
      <c r="R37" s="625">
        <f>(M37-1)*(60/N37)</f>
        <v>1.33333333333333</v>
      </c>
      <c r="S37" s="626">
        <f>E37*N37/60</f>
        <v>112.5</v>
      </c>
      <c r="T37" s="621">
        <v>60</v>
      </c>
      <c r="U37" s="621">
        <v>60</v>
      </c>
      <c r="V37" s="621">
        <v>60</v>
      </c>
      <c r="W37" s="621">
        <v>60</v>
      </c>
      <c r="X37" s="621">
        <f>T37*E37</f>
        <v>4500</v>
      </c>
      <c r="Y37" s="627">
        <f>(W37-L37)/W37*100%</f>
        <v>0.95</v>
      </c>
      <c r="Z37" s="628">
        <f>($W37-L37)*60/$N37</f>
        <v>38</v>
      </c>
      <c r="AA37" s="634">
        <v>2.7</v>
      </c>
      <c r="AB37" s="634">
        <v>1.935</v>
      </c>
      <c r="AC37" s="630">
        <v>0.8695</v>
      </c>
      <c r="AD37" s="630">
        <v>0.58</v>
      </c>
      <c r="AE37" s="630">
        <f>173.5/299</f>
        <v>0.580267558528428</v>
      </c>
      <c r="AF37" s="631">
        <v>78</v>
      </c>
      <c r="AG37" s="631">
        <v>42</v>
      </c>
      <c r="AH37" s="631">
        <v>50</v>
      </c>
      <c r="AI37" s="632" t="s"/>
    </row>
    <row r="38" spans="1:35" s="939" customFormat="1" ht="39" customHeight="1">
      <c r="A38" s="619">
        <f>ROW(D38)-5</f>
        <v>33</v>
      </c>
      <c r="B38" s="619" t="s">
        <v>484</v>
      </c>
      <c r="C38" s="619" t="s">
        <v>327</v>
      </c>
      <c r="D38" s="620" t="s">
        <v>523</v>
      </c>
      <c r="E38" s="621">
        <v>66</v>
      </c>
      <c r="F38" s="622" t="s">
        <v>31</v>
      </c>
      <c r="G38" s="621">
        <v>66</v>
      </c>
      <c r="H38" s="622" t="s">
        <v>210</v>
      </c>
      <c r="I38" s="621">
        <v>99</v>
      </c>
      <c r="J38" s="621">
        <v>3</v>
      </c>
      <c r="K38" s="621">
        <v>3</v>
      </c>
      <c r="L38" s="621">
        <v>4</v>
      </c>
      <c r="M38" s="621">
        <v>4</v>
      </c>
      <c r="N38" s="624">
        <v>126</v>
      </c>
      <c r="O38" s="625">
        <f>(J38-1)*(60/N38)</f>
        <v>0.952380952380953</v>
      </c>
      <c r="P38" s="625">
        <f>(K38-1)*(60/N38)</f>
        <v>0.952380952380953</v>
      </c>
      <c r="Q38" s="904">
        <f>(L38-1)*(60/N38)</f>
        <v>1.42857142857143</v>
      </c>
      <c r="R38" s="625">
        <f>(M38-1)*(60/N38)</f>
        <v>1.42857142857143</v>
      </c>
      <c r="S38" s="626">
        <f>E38*N38/60</f>
        <v>138.6</v>
      </c>
      <c r="T38" s="621">
        <v>6</v>
      </c>
      <c r="U38" s="621">
        <v>7</v>
      </c>
      <c r="V38" s="621">
        <v>9</v>
      </c>
      <c r="W38" s="621">
        <v>10</v>
      </c>
      <c r="X38" s="621">
        <f>W38*E38</f>
        <v>660</v>
      </c>
      <c r="Y38" s="627">
        <f>(W38-L38)/W38*100%</f>
        <v>0.6</v>
      </c>
      <c r="Z38" s="628">
        <f>($W38-L38)*60/$N38</f>
        <v>2.85714285714286</v>
      </c>
      <c r="AA38" s="634">
        <v>3.1</v>
      </c>
      <c r="AB38" s="634">
        <v>2.34</v>
      </c>
      <c r="AC38" s="630">
        <v>0.8695</v>
      </c>
      <c r="AD38" s="630">
        <v>0.58</v>
      </c>
      <c r="AE38" s="630">
        <v>0.247</v>
      </c>
      <c r="AF38" s="631">
        <v>75</v>
      </c>
      <c r="AG38" s="631">
        <v>47</v>
      </c>
      <c r="AH38" s="631">
        <v>65</v>
      </c>
      <c r="AI38" s="632" t="s"/>
    </row>
    <row r="39" spans="1:35" s="939" customFormat="1" ht="39" customHeight="1">
      <c r="A39" s="619">
        <f>ROW(D39)-5</f>
        <v>34</v>
      </c>
      <c r="B39" s="619" t="s">
        <v>493</v>
      </c>
      <c r="C39" s="619" t="s">
        <v>327</v>
      </c>
      <c r="D39" s="620" t="s">
        <v>524</v>
      </c>
      <c r="E39" s="621">
        <v>33</v>
      </c>
      <c r="F39" s="622" t="s">
        <v>83</v>
      </c>
      <c r="G39" s="621">
        <v>25</v>
      </c>
      <c r="H39" s="622" t="s">
        <v>221</v>
      </c>
      <c r="I39" s="621">
        <v>48</v>
      </c>
      <c r="J39" s="621">
        <v>5</v>
      </c>
      <c r="K39" s="621">
        <v>6</v>
      </c>
      <c r="L39" s="621">
        <v>7</v>
      </c>
      <c r="M39" s="621">
        <v>7</v>
      </c>
      <c r="N39" s="621">
        <v>246</v>
      </c>
      <c r="O39" s="625">
        <f>(J39-1)*(60/N39)</f>
        <v>0.975609756097561</v>
      </c>
      <c r="P39" s="625">
        <f>(K39-1)*(60/N39)</f>
        <v>1.21951219512195</v>
      </c>
      <c r="Q39" s="904">
        <f>(L39-1)*(60/N39)</f>
        <v>1.46341463414634</v>
      </c>
      <c r="R39" s="625">
        <f>(M39-1)*(60/N39)</f>
        <v>1.46341463414634</v>
      </c>
      <c r="S39" s="626">
        <f>E39*N39/60</f>
        <v>135.3</v>
      </c>
      <c r="T39" s="621">
        <v>10</v>
      </c>
      <c r="U39" s="621">
        <v>12</v>
      </c>
      <c r="V39" s="621">
        <v>14</v>
      </c>
      <c r="W39" s="621">
        <v>16</v>
      </c>
      <c r="X39" s="621">
        <f>W39*E39</f>
        <v>528</v>
      </c>
      <c r="Y39" s="627">
        <f>(W39-L39)/W39*100%</f>
        <v>0.5625</v>
      </c>
      <c r="Z39" s="628">
        <f>($W39-L39)*60/$N39</f>
        <v>2.19512195121951</v>
      </c>
      <c r="AA39" s="634">
        <v>2.7</v>
      </c>
      <c r="AB39" s="634">
        <v>2.16</v>
      </c>
      <c r="AC39" s="630">
        <v>0.8695</v>
      </c>
      <c r="AD39" s="630">
        <v>0.58</v>
      </c>
      <c r="AE39" s="630">
        <v>0.247</v>
      </c>
      <c r="AF39" s="631">
        <v>82</v>
      </c>
      <c r="AG39" s="631">
        <v>45</v>
      </c>
      <c r="AH39" s="631">
        <v>70</v>
      </c>
      <c r="AI39" s="632" t="s"/>
    </row>
    <row r="40" spans="1:35" s="939" customFormat="1" ht="39" customHeight="1">
      <c r="A40" s="619">
        <f>ROW(D40)-5</f>
        <v>35</v>
      </c>
      <c r="B40" s="619" t="s">
        <v>488</v>
      </c>
      <c r="C40" s="619" t="s">
        <v>323</v>
      </c>
      <c r="D40" s="620" t="s">
        <v>525</v>
      </c>
      <c r="E40" s="621">
        <v>95</v>
      </c>
      <c r="F40" s="622" t="s">
        <v>24</v>
      </c>
      <c r="G40" s="621">
        <v>95</v>
      </c>
      <c r="H40" s="622" t="s">
        <v>24</v>
      </c>
      <c r="I40" s="621">
        <v>95</v>
      </c>
      <c r="J40" s="621">
        <v>2</v>
      </c>
      <c r="K40" s="621">
        <v>2</v>
      </c>
      <c r="L40" s="621">
        <v>3</v>
      </c>
      <c r="M40" s="621">
        <v>3</v>
      </c>
      <c r="N40" s="621">
        <v>79</v>
      </c>
      <c r="O40" s="625">
        <f>(J40-1)*(60/N40)</f>
        <v>0.759493670886076</v>
      </c>
      <c r="P40" s="625">
        <f>(K40-1)*(60/N40)</f>
        <v>0.759493670886076</v>
      </c>
      <c r="Q40" s="904">
        <f>(L40-1)*(60/N40)</f>
        <v>1.51898734177215</v>
      </c>
      <c r="R40" s="625">
        <f>(M40-1)*(60/N40)</f>
        <v>1.51898734177215</v>
      </c>
      <c r="S40" s="626">
        <f>E40*N40/60</f>
        <v>125.083333333333</v>
      </c>
      <c r="T40" s="621">
        <v>5</v>
      </c>
      <c r="U40" s="621">
        <v>5</v>
      </c>
      <c r="V40" s="621">
        <v>5</v>
      </c>
      <c r="W40" s="621">
        <v>5</v>
      </c>
      <c r="X40" s="621">
        <f>T40*E40</f>
        <v>475</v>
      </c>
      <c r="Y40" s="627">
        <f>(W40-L40)/W40*100%</f>
        <v>0.4</v>
      </c>
      <c r="Z40" s="628">
        <f>($W40-L40)*60/$N40</f>
        <v>1.51898734177215</v>
      </c>
      <c r="AA40" s="634">
        <v>3.7</v>
      </c>
      <c r="AB40" s="629">
        <f>AA40/5</f>
        <v>0.74</v>
      </c>
      <c r="AC40" s="630">
        <v>0.8695</v>
      </c>
      <c r="AD40" s="630">
        <v>0.58</v>
      </c>
      <c r="AE40" s="630">
        <v>0.522</v>
      </c>
      <c r="AF40" s="631">
        <v>52</v>
      </c>
      <c r="AG40" s="631">
        <v>90</v>
      </c>
      <c r="AH40" s="631">
        <v>76</v>
      </c>
      <c r="AI40" s="632" t="s"/>
    </row>
    <row r="41" spans="1:35" s="939" customFormat="1" ht="39" customHeight="1">
      <c r="A41" s="619">
        <f>ROW(D41)-5</f>
        <v>36</v>
      </c>
      <c r="B41" s="619" t="s">
        <v>521</v>
      </c>
      <c r="C41" s="619" t="s">
        <v>327</v>
      </c>
      <c r="D41" s="620" t="s">
        <v>526</v>
      </c>
      <c r="E41" s="621">
        <v>75</v>
      </c>
      <c r="F41" s="622" t="s">
        <v>50</v>
      </c>
      <c r="G41" s="621">
        <v>65</v>
      </c>
      <c r="H41" s="622" t="s">
        <v>210</v>
      </c>
      <c r="I41" s="621">
        <v>100</v>
      </c>
      <c r="J41" s="621">
        <v>2</v>
      </c>
      <c r="K41" s="621">
        <v>3</v>
      </c>
      <c r="L41" s="621">
        <v>3</v>
      </c>
      <c r="M41" s="621">
        <v>3</v>
      </c>
      <c r="N41" s="633">
        <v>75</v>
      </c>
      <c r="O41" s="625">
        <f>(J41-1)*(60/N41)</f>
        <v>0.8</v>
      </c>
      <c r="P41" s="625">
        <f>(K41-1)*(60/N41)</f>
        <v>1.6</v>
      </c>
      <c r="Q41" s="904">
        <f>(L41-1)*(60/N41)</f>
        <v>1.6</v>
      </c>
      <c r="R41" s="625">
        <f>(M41-1)*(60/N41)</f>
        <v>1.6</v>
      </c>
      <c r="S41" s="626">
        <f>E41*N41/60</f>
        <v>93.75</v>
      </c>
      <c r="T41" s="621">
        <v>60</v>
      </c>
      <c r="U41" s="621">
        <v>60</v>
      </c>
      <c r="V41" s="621">
        <v>60</v>
      </c>
      <c r="W41" s="621">
        <v>60</v>
      </c>
      <c r="X41" s="621">
        <f>T41*E41</f>
        <v>4500</v>
      </c>
      <c r="Y41" s="627">
        <f>(W41-L41)/W41*100%</f>
        <v>0.95</v>
      </c>
      <c r="Z41" s="628">
        <f>($W41-L41)*60/$N41</f>
        <v>45.6</v>
      </c>
      <c r="AA41" s="634">
        <v>2.7</v>
      </c>
      <c r="AB41" s="634">
        <v>1.935</v>
      </c>
      <c r="AC41" s="630">
        <v>0.8695</v>
      </c>
      <c r="AD41" s="630">
        <v>0.58</v>
      </c>
      <c r="AE41" s="630">
        <f>173.5/299</f>
        <v>0.580267558528428</v>
      </c>
      <c r="AF41" s="631">
        <v>78</v>
      </c>
      <c r="AG41" s="631">
        <v>42</v>
      </c>
      <c r="AH41" s="631">
        <v>50</v>
      </c>
      <c r="AI41" s="632" t="s"/>
    </row>
    <row r="42" spans="1:35" s="939" customFormat="1" ht="39" customHeight="1">
      <c r="A42" s="619">
        <f>ROW(D42)-5</f>
        <v>37</v>
      </c>
      <c r="B42" s="619" t="s">
        <v>484</v>
      </c>
      <c r="C42" s="619" t="s">
        <v>327</v>
      </c>
      <c r="D42" s="620" t="s">
        <v>527</v>
      </c>
      <c r="E42" s="621">
        <v>66</v>
      </c>
      <c r="F42" s="622" t="s">
        <v>31</v>
      </c>
      <c r="G42" s="621">
        <v>66</v>
      </c>
      <c r="H42" s="622" t="s">
        <v>210</v>
      </c>
      <c r="I42" s="621">
        <v>99</v>
      </c>
      <c r="J42" s="621">
        <v>3</v>
      </c>
      <c r="K42" s="621">
        <v>3</v>
      </c>
      <c r="L42" s="621">
        <v>4</v>
      </c>
      <c r="M42" s="621">
        <v>4</v>
      </c>
      <c r="N42" s="621">
        <v>108</v>
      </c>
      <c r="O42" s="625">
        <f>(J42-1)*(60/N42)</f>
        <v>1.11111111111111</v>
      </c>
      <c r="P42" s="625">
        <f>(K42-1)*(60/N42)</f>
        <v>1.11111111111111</v>
      </c>
      <c r="Q42" s="904">
        <f>(L42-1)*(60/N42)</f>
        <v>1.66666666666667</v>
      </c>
      <c r="R42" s="625">
        <f>(M42-1)*(60/N42)</f>
        <v>1.66666666666667</v>
      </c>
      <c r="S42" s="626">
        <f>E42*N42/60</f>
        <v>118.8</v>
      </c>
      <c r="T42" s="621">
        <v>6</v>
      </c>
      <c r="U42" s="621">
        <v>7</v>
      </c>
      <c r="V42" s="621">
        <v>9</v>
      </c>
      <c r="W42" s="621">
        <v>10</v>
      </c>
      <c r="X42" s="621">
        <f>W42*E42</f>
        <v>660</v>
      </c>
      <c r="Y42" s="627">
        <f>(W42-L42)/W42*100%</f>
        <v>0.6</v>
      </c>
      <c r="Z42" s="628">
        <f>($W42-L42)*60/$N42</f>
        <v>3.33333333333333</v>
      </c>
      <c r="AA42" s="634">
        <v>3.1</v>
      </c>
      <c r="AB42" s="634">
        <v>2.34</v>
      </c>
      <c r="AC42" s="630">
        <v>0.8695</v>
      </c>
      <c r="AD42" s="630">
        <v>0.58</v>
      </c>
      <c r="AE42" s="630">
        <v>0.247</v>
      </c>
      <c r="AF42" s="631">
        <v>75</v>
      </c>
      <c r="AG42" s="631">
        <v>47</v>
      </c>
      <c r="AH42" s="631">
        <v>65</v>
      </c>
      <c r="AI42" s="632" t="s"/>
    </row>
    <row r="43" spans="1:35" s="939" customFormat="1" ht="39" customHeight="1">
      <c r="A43" s="619">
        <f>ROW(D43)-5</f>
        <v>38</v>
      </c>
      <c r="B43" s="619" t="s">
        <v>484</v>
      </c>
      <c r="C43" s="619" t="s">
        <v>327</v>
      </c>
      <c r="D43" s="620" t="s">
        <v>528</v>
      </c>
      <c r="E43" s="621">
        <v>66</v>
      </c>
      <c r="F43" s="622" t="s">
        <v>31</v>
      </c>
      <c r="G43" s="621">
        <v>66</v>
      </c>
      <c r="H43" s="622" t="s">
        <v>210</v>
      </c>
      <c r="I43" s="621">
        <v>99</v>
      </c>
      <c r="J43" s="641">
        <v>3</v>
      </c>
      <c r="K43" s="641">
        <v>3</v>
      </c>
      <c r="L43" s="641">
        <v>4</v>
      </c>
      <c r="M43" s="641">
        <v>4</v>
      </c>
      <c r="N43" s="624">
        <v>107</v>
      </c>
      <c r="O43" s="625">
        <f>(J43-1)*(60/N43)</f>
        <v>1.1214953271028</v>
      </c>
      <c r="P43" s="625">
        <f>(K43-1)*(60/N43)</f>
        <v>1.1214953271028</v>
      </c>
      <c r="Q43" s="904">
        <f>(L43-1)*(60/N43)</f>
        <v>1.68224299065421</v>
      </c>
      <c r="R43" s="625">
        <f>(M43-1)*(60/N43)</f>
        <v>1.68224299065421</v>
      </c>
      <c r="S43" s="626">
        <f>E43*N43/60</f>
        <v>117.7</v>
      </c>
      <c r="T43" s="621">
        <v>6</v>
      </c>
      <c r="U43" s="621">
        <v>7</v>
      </c>
      <c r="V43" s="621">
        <v>9</v>
      </c>
      <c r="W43" s="621">
        <v>10</v>
      </c>
      <c r="X43" s="621">
        <f>W43*E43</f>
        <v>660</v>
      </c>
      <c r="Y43" s="627">
        <f>(W43-L43)/W43*100%</f>
        <v>0.6</v>
      </c>
      <c r="Z43" s="628">
        <f>($W43-L43)*60/$N43</f>
        <v>3.36448598130841</v>
      </c>
      <c r="AA43" s="634">
        <v>3.1</v>
      </c>
      <c r="AB43" s="634">
        <v>2.34</v>
      </c>
      <c r="AC43" s="630">
        <v>0.8695</v>
      </c>
      <c r="AD43" s="630">
        <v>0.58</v>
      </c>
      <c r="AE43" s="642">
        <v>0.247</v>
      </c>
      <c r="AF43" s="631">
        <v>75</v>
      </c>
      <c r="AG43" s="631">
        <v>47</v>
      </c>
      <c r="AH43" s="631">
        <v>65</v>
      </c>
      <c r="AI43" s="632" t="s"/>
    </row>
    <row r="44" spans="1:35" s="939" customFormat="1" ht="39" customHeight="1">
      <c r="A44" s="619">
        <f>ROW(D44)-5</f>
        <v>39</v>
      </c>
      <c r="B44" s="619" t="s">
        <v>508</v>
      </c>
      <c r="C44" s="619" t="s">
        <v>334</v>
      </c>
      <c r="D44" s="620" t="s">
        <v>529</v>
      </c>
      <c r="E44" s="621">
        <v>60</v>
      </c>
      <c r="F44" s="622" t="s">
        <v>50</v>
      </c>
      <c r="G44" s="621">
        <v>48</v>
      </c>
      <c r="H44" s="622" t="s">
        <v>271</v>
      </c>
      <c r="I44" s="622">
        <v>108</v>
      </c>
      <c r="J44" s="621">
        <v>3</v>
      </c>
      <c r="K44" s="621">
        <v>3</v>
      </c>
      <c r="L44" s="621">
        <v>4</v>
      </c>
      <c r="M44" s="621">
        <v>4</v>
      </c>
      <c r="N44" s="621">
        <v>94</v>
      </c>
      <c r="O44" s="625">
        <f>(J44-1)*(60/N44)</f>
        <v>1.27659574468085</v>
      </c>
      <c r="P44" s="625">
        <f>(K44-1)*(60/N44)</f>
        <v>1.27659574468085</v>
      </c>
      <c r="Q44" s="904">
        <f>(L44-1)*(60/N44)</f>
        <v>1.91489361702128</v>
      </c>
      <c r="R44" s="625">
        <f>(M44-1)*(60/N44)</f>
        <v>1.91489361702128</v>
      </c>
      <c r="S44" s="626">
        <f>E44*N44/60</f>
        <v>94</v>
      </c>
      <c r="T44" s="621">
        <v>5</v>
      </c>
      <c r="U44" s="621">
        <v>6</v>
      </c>
      <c r="V44" s="621">
        <v>8</v>
      </c>
      <c r="W44" s="621">
        <v>10</v>
      </c>
      <c r="X44" s="621">
        <f>W44*E44</f>
        <v>600</v>
      </c>
      <c r="Y44" s="627">
        <f>(W44-L44)/W44*100%</f>
        <v>0.6</v>
      </c>
      <c r="Z44" s="628">
        <f>($W44-L44)*60/$N44</f>
        <v>3.82978723404255</v>
      </c>
      <c r="AA44" s="634">
        <v>3.3</v>
      </c>
      <c r="AB44" s="634">
        <v>2.394</v>
      </c>
      <c r="AC44" s="630">
        <v>0.8695</v>
      </c>
      <c r="AD44" s="630">
        <v>0.58</v>
      </c>
      <c r="AE44" s="630">
        <v>0.203</v>
      </c>
      <c r="AF44" s="631">
        <v>86</v>
      </c>
      <c r="AG44" s="631">
        <v>25</v>
      </c>
      <c r="AH44" s="631">
        <v>59</v>
      </c>
      <c r="AI44" s="632" t="s"/>
    </row>
    <row r="45" spans="1:35" s="939" customFormat="1" ht="39" customHeight="1">
      <c r="A45" s="619">
        <f>ROW(D45)-5</f>
        <v>40</v>
      </c>
      <c r="B45" s="619" t="s">
        <v>521</v>
      </c>
      <c r="C45" s="619" t="s">
        <v>327</v>
      </c>
      <c r="D45" s="620" t="s">
        <v>530</v>
      </c>
      <c r="E45" s="621">
        <v>60</v>
      </c>
      <c r="F45" s="622" t="s">
        <v>50</v>
      </c>
      <c r="G45" s="621">
        <v>48</v>
      </c>
      <c r="H45" s="622" t="s">
        <v>210</v>
      </c>
      <c r="I45" s="621">
        <v>90</v>
      </c>
      <c r="J45" s="621">
        <v>3</v>
      </c>
      <c r="K45" s="621">
        <v>3</v>
      </c>
      <c r="L45" s="621">
        <v>4</v>
      </c>
      <c r="M45" s="621">
        <v>4</v>
      </c>
      <c r="N45" s="633">
        <v>90</v>
      </c>
      <c r="O45" s="625">
        <f>(J45-1)*(60/N45)</f>
        <v>1.33333333333333</v>
      </c>
      <c r="P45" s="625">
        <f>(K45-1)*(60/N45)</f>
        <v>1.33333333333333</v>
      </c>
      <c r="Q45" s="904">
        <f>(L45-1)*(60/N45)</f>
        <v>2</v>
      </c>
      <c r="R45" s="625">
        <f>(M45-1)*(60/N45)</f>
        <v>2</v>
      </c>
      <c r="S45" s="626">
        <f>E45*N45/60</f>
        <v>90</v>
      </c>
      <c r="T45" s="621">
        <v>60</v>
      </c>
      <c r="U45" s="621">
        <v>60</v>
      </c>
      <c r="V45" s="621">
        <v>60</v>
      </c>
      <c r="W45" s="621">
        <v>60</v>
      </c>
      <c r="X45" s="621">
        <f>T45*E45</f>
        <v>3600</v>
      </c>
      <c r="Y45" s="627">
        <f>(W45-L45)/W45*100%</f>
        <v>0.933333333333334</v>
      </c>
      <c r="Z45" s="628">
        <f>($W45-L45)*60/$N45</f>
        <v>37.3333333333333</v>
      </c>
      <c r="AA45" s="634">
        <v>2.7</v>
      </c>
      <c r="AB45" s="634">
        <v>1.935</v>
      </c>
      <c r="AC45" s="630">
        <v>0.8695</v>
      </c>
      <c r="AD45" s="630">
        <v>0.58</v>
      </c>
      <c r="AE45" s="630">
        <f>173.5/299</f>
        <v>0.580267558528428</v>
      </c>
      <c r="AF45" s="631">
        <v>78</v>
      </c>
      <c r="AG45" s="631">
        <v>42</v>
      </c>
      <c r="AH45" s="631">
        <v>50</v>
      </c>
      <c r="AI45" s="632" t="s"/>
    </row>
    <row r="46" spans="1:35" s="939" customFormat="1" ht="39" customHeight="1">
      <c r="A46" s="619">
        <f>ROW(D46)-5</f>
        <v>41</v>
      </c>
      <c r="B46" s="619" t="s">
        <v>484</v>
      </c>
      <c r="C46" s="619" t="s">
        <v>327</v>
      </c>
      <c r="D46" s="620" t="s">
        <v>531</v>
      </c>
      <c r="E46" s="621">
        <v>66</v>
      </c>
      <c r="F46" s="622" t="s">
        <v>31</v>
      </c>
      <c r="G46" s="621">
        <v>66</v>
      </c>
      <c r="H46" s="622" t="s">
        <v>210</v>
      </c>
      <c r="I46" s="621">
        <v>99</v>
      </c>
      <c r="J46" s="621">
        <v>3</v>
      </c>
      <c r="K46" s="621">
        <v>3</v>
      </c>
      <c r="L46" s="621">
        <v>4</v>
      </c>
      <c r="M46" s="621">
        <v>4</v>
      </c>
      <c r="N46" s="621">
        <v>90</v>
      </c>
      <c r="O46" s="625">
        <f>(J46-1)*(60/N46)</f>
        <v>1.33333333333333</v>
      </c>
      <c r="P46" s="625">
        <f>(K46-1)*(60/N46)</f>
        <v>1.33333333333333</v>
      </c>
      <c r="Q46" s="904">
        <f>(L46-1)*(60/N46)</f>
        <v>2</v>
      </c>
      <c r="R46" s="625">
        <f>(M46-1)*(60/N46)</f>
        <v>2</v>
      </c>
      <c r="S46" s="626">
        <f>E46*N46/60</f>
        <v>99</v>
      </c>
      <c r="T46" s="621">
        <v>6</v>
      </c>
      <c r="U46" s="621">
        <v>7</v>
      </c>
      <c r="V46" s="621">
        <v>9</v>
      </c>
      <c r="W46" s="621">
        <v>10</v>
      </c>
      <c r="X46" s="621">
        <f>W46*E46</f>
        <v>660</v>
      </c>
      <c r="Y46" s="627">
        <f>(W46-L46)/W46*100%</f>
        <v>0.6</v>
      </c>
      <c r="Z46" s="628">
        <f>($W46-L46)*60/$N46</f>
        <v>4</v>
      </c>
      <c r="AA46" s="634">
        <v>3.1</v>
      </c>
      <c r="AB46" s="634">
        <v>2.34</v>
      </c>
      <c r="AC46" s="630">
        <v>0.8695</v>
      </c>
      <c r="AD46" s="630">
        <v>0.58</v>
      </c>
      <c r="AE46" s="630">
        <v>0.247</v>
      </c>
      <c r="AF46" s="631">
        <v>75</v>
      </c>
      <c r="AG46" s="631">
        <v>47</v>
      </c>
      <c r="AH46" s="631">
        <v>65</v>
      </c>
      <c r="AI46" s="632" t="s"/>
    </row>
    <row r="47" spans="1:35" s="939" customFormat="1" ht="39" customHeight="1">
      <c r="A47" s="619">
        <f>ROW(D47)-5</f>
        <v>42</v>
      </c>
      <c r="B47" s="619" t="s">
        <v>508</v>
      </c>
      <c r="C47" s="619" t="s">
        <v>334</v>
      </c>
      <c r="D47" s="620" t="s">
        <v>532</v>
      </c>
      <c r="E47" s="621">
        <v>60</v>
      </c>
      <c r="F47" s="622" t="s">
        <v>50</v>
      </c>
      <c r="G47" s="621">
        <v>48</v>
      </c>
      <c r="H47" s="622" t="s">
        <v>271</v>
      </c>
      <c r="I47" s="622">
        <v>108</v>
      </c>
      <c r="J47" s="621">
        <v>3</v>
      </c>
      <c r="K47" s="621">
        <v>3</v>
      </c>
      <c r="L47" s="621">
        <v>4</v>
      </c>
      <c r="M47" s="621">
        <v>4</v>
      </c>
      <c r="N47" s="621">
        <v>78</v>
      </c>
      <c r="O47" s="625">
        <f>(J47-1)*(60/N47)</f>
        <v>1.53846153846154</v>
      </c>
      <c r="P47" s="625">
        <f>(K47-1)*(60/N47)</f>
        <v>1.53846153846154</v>
      </c>
      <c r="Q47" s="904">
        <f>(L47-1)*(60/N47)</f>
        <v>2.30769230769231</v>
      </c>
      <c r="R47" s="625">
        <f>(M47-1)*(60/N47)</f>
        <v>2.30769230769231</v>
      </c>
      <c r="S47" s="626">
        <f>E47*N47/60</f>
        <v>78</v>
      </c>
      <c r="T47" s="621">
        <v>6</v>
      </c>
      <c r="U47" s="621">
        <v>8</v>
      </c>
      <c r="V47" s="621">
        <v>10</v>
      </c>
      <c r="W47" s="621">
        <v>12</v>
      </c>
      <c r="X47" s="621">
        <f>W47*E47</f>
        <v>720</v>
      </c>
      <c r="Y47" s="627">
        <f>(W47-L47)/W47*100%</f>
        <v>0.666666666666667</v>
      </c>
      <c r="Z47" s="628">
        <f>($W47-L47)*60/$N47</f>
        <v>6.15384615384616</v>
      </c>
      <c r="AA47" s="634">
        <v>3.3</v>
      </c>
      <c r="AB47" s="634">
        <v>2.394</v>
      </c>
      <c r="AC47" s="630">
        <v>0.8695</v>
      </c>
      <c r="AD47" s="630">
        <v>0.58</v>
      </c>
      <c r="AE47" s="630">
        <v>0.203</v>
      </c>
      <c r="AF47" s="631">
        <v>86</v>
      </c>
      <c r="AG47" s="631">
        <v>25</v>
      </c>
      <c r="AH47" s="631">
        <v>59</v>
      </c>
      <c r="AI47" s="632" t="s"/>
    </row>
    <row r="48" spans="1:35" s="939" customFormat="1" ht="39" customHeight="1">
      <c r="A48" s="619">
        <f>ROW(D48)-5</f>
        <v>43</v>
      </c>
      <c r="B48" s="619" t="s">
        <v>488</v>
      </c>
      <c r="C48" s="619" t="s">
        <v>323</v>
      </c>
      <c r="D48" s="620" t="s">
        <v>533</v>
      </c>
      <c r="E48" s="621">
        <v>99</v>
      </c>
      <c r="F48" s="622" t="s">
        <v>24</v>
      </c>
      <c r="G48" s="621">
        <v>99</v>
      </c>
      <c r="H48" s="622" t="s">
        <v>24</v>
      </c>
      <c r="I48" s="621">
        <v>99</v>
      </c>
      <c r="J48" s="621">
        <v>2</v>
      </c>
      <c r="K48" s="621">
        <v>2</v>
      </c>
      <c r="L48" s="621">
        <v>3</v>
      </c>
      <c r="M48" s="621">
        <v>3</v>
      </c>
      <c r="N48" s="621">
        <v>51</v>
      </c>
      <c r="O48" s="625">
        <f>(J48-1)*(60/N48)</f>
        <v>1.17647058823529</v>
      </c>
      <c r="P48" s="625">
        <f>(K48-1)*(60/N48)</f>
        <v>1.17647058823529</v>
      </c>
      <c r="Q48" s="904">
        <f>(L48-1)*(60/N48)</f>
        <v>2.35294117647059</v>
      </c>
      <c r="R48" s="625">
        <f>(M48-1)*(60/N48)</f>
        <v>2.35294117647059</v>
      </c>
      <c r="S48" s="626">
        <f>E48*N48/60</f>
        <v>84.15</v>
      </c>
      <c r="T48" s="621">
        <v>5</v>
      </c>
      <c r="U48" s="621">
        <v>5</v>
      </c>
      <c r="V48" s="621">
        <v>5</v>
      </c>
      <c r="W48" s="621">
        <v>5</v>
      </c>
      <c r="X48" s="621">
        <f>T48*E48</f>
        <v>495</v>
      </c>
      <c r="Y48" s="627">
        <f>(W48-L48)/W48*100%</f>
        <v>0.4</v>
      </c>
      <c r="Z48" s="628">
        <f>($W48-L48)*60/$N48</f>
        <v>2.35294117647059</v>
      </c>
      <c r="AA48" s="634">
        <v>3.1</v>
      </c>
      <c r="AB48" s="634">
        <v>2.25</v>
      </c>
      <c r="AC48" s="630">
        <v>0.8695</v>
      </c>
      <c r="AD48" s="630">
        <v>0.58</v>
      </c>
      <c r="AE48" s="630">
        <v>0.522</v>
      </c>
      <c r="AF48" s="631">
        <v>53</v>
      </c>
      <c r="AG48" s="631">
        <v>90</v>
      </c>
      <c r="AH48" s="631">
        <v>81</v>
      </c>
      <c r="AI48" s="632" t="s"/>
    </row>
    <row r="49" spans="1:35" s="939" customFormat="1" ht="39" customHeight="1">
      <c r="A49" s="619">
        <f>ROW(D49)-5</f>
        <v>44</v>
      </c>
      <c r="B49" s="619" t="s">
        <v>58</v>
      </c>
      <c r="C49" s="619" t="s">
        <v>334</v>
      </c>
      <c r="D49" s="620" t="s">
        <v>285</v>
      </c>
      <c r="E49" s="621">
        <v>150</v>
      </c>
      <c r="F49" s="622" t="s">
        <v>50</v>
      </c>
      <c r="G49" s="621">
        <v>120</v>
      </c>
      <c r="H49" s="622" t="s">
        <v>190</v>
      </c>
      <c r="I49" s="622">
        <v>210</v>
      </c>
      <c r="J49" s="621">
        <v>1</v>
      </c>
      <c r="K49" s="621">
        <v>2</v>
      </c>
      <c r="L49" s="621">
        <v>2</v>
      </c>
      <c r="M49" s="621">
        <v>2</v>
      </c>
      <c r="N49" s="621">
        <v>25</v>
      </c>
      <c r="O49" s="643">
        <f>(J49-1)*(60/N49)</f>
        <v>0</v>
      </c>
      <c r="P49" s="643">
        <f>(K49-1)*(60/N49)</f>
        <v>2.4</v>
      </c>
      <c r="Q49" s="908">
        <f>(L49-1)*(60/N49)</f>
        <v>2.4</v>
      </c>
      <c r="R49" s="643">
        <f>(M49-1)*(60/N49)</f>
        <v>2.4</v>
      </c>
      <c r="S49" s="626">
        <f>E49*N49/60</f>
        <v>62.5</v>
      </c>
      <c r="T49" s="621">
        <v>4</v>
      </c>
      <c r="U49" s="621">
        <v>4</v>
      </c>
      <c r="V49" s="621">
        <v>4</v>
      </c>
      <c r="W49" s="621">
        <v>4</v>
      </c>
      <c r="X49" s="621">
        <f>T49*E49</f>
        <v>600</v>
      </c>
      <c r="Y49" s="627">
        <f>(W49-L49)/W49*100%</f>
        <v>0.5</v>
      </c>
      <c r="Z49" s="628">
        <f>($W49-L49)*60/$N49</f>
        <v>4.8</v>
      </c>
      <c r="AA49" s="634">
        <v>4.3</v>
      </c>
      <c r="AB49" s="634">
        <v>3.2</v>
      </c>
      <c r="AC49" s="630">
        <v>0.8695</v>
      </c>
      <c r="AD49" s="630">
        <v>0.58</v>
      </c>
      <c r="AE49" s="630">
        <v>0.203</v>
      </c>
      <c r="AF49" s="631">
        <v>85</v>
      </c>
      <c r="AG49" s="631">
        <v>25</v>
      </c>
      <c r="AH49" s="631">
        <v>25</v>
      </c>
      <c r="AI49" s="632" t="s"/>
    </row>
    <row r="50" spans="1:35" s="939" customFormat="1" ht="39" customHeight="1">
      <c r="A50" s="619">
        <f>ROW(D50)-5</f>
        <v>45</v>
      </c>
      <c r="B50" s="619" t="s">
        <v>521</v>
      </c>
      <c r="C50" s="619" t="s">
        <v>327</v>
      </c>
      <c r="D50" s="620" t="s">
        <v>534</v>
      </c>
      <c r="E50" s="621">
        <v>60</v>
      </c>
      <c r="F50" s="622" t="s">
        <v>50</v>
      </c>
      <c r="G50" s="621">
        <v>48</v>
      </c>
      <c r="H50" s="622" t="s">
        <v>210</v>
      </c>
      <c r="I50" s="621">
        <v>90</v>
      </c>
      <c r="J50" s="621">
        <v>3</v>
      </c>
      <c r="K50" s="621">
        <v>3</v>
      </c>
      <c r="L50" s="621">
        <v>4</v>
      </c>
      <c r="M50" s="621">
        <v>4</v>
      </c>
      <c r="N50" s="633">
        <v>75</v>
      </c>
      <c r="O50" s="625">
        <f>(J50-1)*(60/N50)</f>
        <v>1.6</v>
      </c>
      <c r="P50" s="625">
        <f>(K50-1)*(60/N50)</f>
        <v>1.6</v>
      </c>
      <c r="Q50" s="904">
        <f>(L50-1)*(60/N50)</f>
        <v>2.4</v>
      </c>
      <c r="R50" s="625">
        <f>(M50-1)*(60/N50)</f>
        <v>2.4</v>
      </c>
      <c r="S50" s="626">
        <f>E50*N50/60</f>
        <v>75</v>
      </c>
      <c r="T50" s="621">
        <v>60</v>
      </c>
      <c r="U50" s="621">
        <v>60</v>
      </c>
      <c r="V50" s="621">
        <v>60</v>
      </c>
      <c r="W50" s="621">
        <v>60</v>
      </c>
      <c r="X50" s="621">
        <f>T50*E50</f>
        <v>3600</v>
      </c>
      <c r="Y50" s="627">
        <f>(W50-L50)/W50*100%</f>
        <v>0.933333333333334</v>
      </c>
      <c r="Z50" s="628">
        <f>($W50-L50)*60/$N50</f>
        <v>44.8</v>
      </c>
      <c r="AA50" s="634">
        <v>2.7</v>
      </c>
      <c r="AB50" s="634">
        <v>1.935</v>
      </c>
      <c r="AC50" s="630">
        <v>0.8695</v>
      </c>
      <c r="AD50" s="630">
        <v>0.58</v>
      </c>
      <c r="AE50" s="630">
        <f>173.5/299</f>
        <v>0.580267558528428</v>
      </c>
      <c r="AF50" s="631">
        <v>78</v>
      </c>
      <c r="AG50" s="631">
        <v>42</v>
      </c>
      <c r="AH50" s="631">
        <v>50</v>
      </c>
      <c r="AI50" s="632" t="s"/>
    </row>
    <row r="51" spans="1:35" s="939" customFormat="1" ht="39" customHeight="1">
      <c r="A51" s="619">
        <f>ROW(D51)-5</f>
        <v>46</v>
      </c>
      <c r="B51" s="619" t="s">
        <v>480</v>
      </c>
      <c r="C51" s="619" t="s">
        <v>334</v>
      </c>
      <c r="D51" s="620" t="s">
        <v>289</v>
      </c>
      <c r="E51" s="624" t="s">
        <v>290</v>
      </c>
      <c r="F51" s="622" t="s">
        <v>24</v>
      </c>
      <c r="G51" s="624" t="s">
        <v>290</v>
      </c>
      <c r="H51" s="622" t="s">
        <v>210</v>
      </c>
      <c r="I51" s="624" t="s">
        <v>291</v>
      </c>
      <c r="J51" s="621">
        <v>2</v>
      </c>
      <c r="K51" s="621">
        <v>2</v>
      </c>
      <c r="L51" s="621">
        <v>3</v>
      </c>
      <c r="M51" s="621">
        <v>3</v>
      </c>
      <c r="N51" s="624">
        <v>46</v>
      </c>
      <c r="O51" s="625">
        <f>(J51-1)*(60/N51)</f>
        <v>1.30434782608696</v>
      </c>
      <c r="P51" s="625">
        <f>(K51-1)*(60/N51)</f>
        <v>1.30434782608696</v>
      </c>
      <c r="Q51" s="904">
        <f>(L51-1)*(60/N51)</f>
        <v>2.60869565217391</v>
      </c>
      <c r="R51" s="625">
        <f>(M51-1)*(60/N51)</f>
        <v>2.60869565217391</v>
      </c>
      <c r="S51" s="639" t="s">
        <v>535</v>
      </c>
      <c r="T51" s="621">
        <v>6</v>
      </c>
      <c r="U51" s="621">
        <v>6</v>
      </c>
      <c r="V51" s="621">
        <v>6</v>
      </c>
      <c r="W51" s="621">
        <v>6</v>
      </c>
      <c r="X51" s="624" t="s">
        <v>536</v>
      </c>
      <c r="Y51" s="627">
        <f>(W51-L51)/W51*100%</f>
        <v>0.5</v>
      </c>
      <c r="Z51" s="628">
        <f>($W51-L51)*60/$N51</f>
        <v>3.91304347826087</v>
      </c>
      <c r="AA51" s="629" t="s">
        <v>482</v>
      </c>
      <c r="AB51" s="629" t="s">
        <v>482</v>
      </c>
      <c r="AC51" s="630">
        <v>0.8695</v>
      </c>
      <c r="AD51" s="630">
        <v>0.58</v>
      </c>
      <c r="AE51" s="630">
        <v>0.29</v>
      </c>
      <c r="AF51" s="921" t="s">
        <v>193</v>
      </c>
      <c r="AG51" s="921" t="s">
        <v>193</v>
      </c>
      <c r="AH51" s="921" t="s">
        <v>193</v>
      </c>
      <c r="AI51" s="632" t="s"/>
    </row>
    <row r="52" spans="1:35" s="939" customFormat="1" ht="39" customHeight="1">
      <c r="A52" s="619">
        <f>ROW(D52)-5</f>
        <v>47</v>
      </c>
      <c r="B52" s="619" t="s">
        <v>58</v>
      </c>
      <c r="C52" s="619" t="s">
        <v>327</v>
      </c>
      <c r="D52" s="620" t="s">
        <v>537</v>
      </c>
      <c r="E52" s="622">
        <v>56</v>
      </c>
      <c r="F52" s="622" t="s">
        <v>24</v>
      </c>
      <c r="G52" s="622">
        <v>56</v>
      </c>
      <c r="H52" s="622" t="s">
        <v>32</v>
      </c>
      <c r="I52" s="622">
        <v>70</v>
      </c>
      <c r="J52" s="621">
        <v>3</v>
      </c>
      <c r="K52" s="621">
        <v>4</v>
      </c>
      <c r="L52" s="621">
        <v>4</v>
      </c>
      <c r="M52" s="621">
        <v>5</v>
      </c>
      <c r="N52" s="621">
        <v>64</v>
      </c>
      <c r="O52" s="625">
        <f>(J52-1)*(60/N52)</f>
        <v>1.875</v>
      </c>
      <c r="P52" s="625">
        <f>(K52-1)*(60/N52)</f>
        <v>2.8125</v>
      </c>
      <c r="Q52" s="904">
        <f>(L52-1)*(60/N52)</f>
        <v>2.8125</v>
      </c>
      <c r="R52" s="625">
        <f>(M52-1)*(60/N52)</f>
        <v>3.75</v>
      </c>
      <c r="S52" s="626">
        <f>E52*N52/60</f>
        <v>59.7333333333333</v>
      </c>
      <c r="T52" s="622">
        <v>10</v>
      </c>
      <c r="U52" s="622">
        <v>10</v>
      </c>
      <c r="V52" s="622">
        <v>10</v>
      </c>
      <c r="W52" s="622">
        <v>10</v>
      </c>
      <c r="X52" s="621">
        <f>T52*E52</f>
        <v>560</v>
      </c>
      <c r="Y52" s="627">
        <f>(W52-L52)/W52*100%</f>
        <v>0.6</v>
      </c>
      <c r="Z52" s="628">
        <f>($W52-L52)*60/$N52</f>
        <v>5.625</v>
      </c>
      <c r="AA52" s="634">
        <v>3</v>
      </c>
      <c r="AB52" s="919" t="s">
        <v>193</v>
      </c>
      <c r="AC52" s="630">
        <v>0.8695</v>
      </c>
      <c r="AD52" s="630">
        <v>0.58</v>
      </c>
      <c r="AE52" s="630">
        <v>0.247</v>
      </c>
      <c r="AF52" s="631">
        <v>78</v>
      </c>
      <c r="AG52" s="631">
        <v>44</v>
      </c>
      <c r="AH52" s="631">
        <v>69</v>
      </c>
      <c r="AI52" s="632" t="s">
        <v>538</v>
      </c>
    </row>
    <row r="53" spans="1:35" s="939" customFormat="1" ht="39" customHeight="1">
      <c r="A53" s="619">
        <f>ROW(D53)-5</f>
        <v>48</v>
      </c>
      <c r="B53" s="619" t="s">
        <v>58</v>
      </c>
      <c r="C53" s="619" t="s">
        <v>327</v>
      </c>
      <c r="D53" s="620" t="s">
        <v>539</v>
      </c>
      <c r="E53" s="622">
        <v>51</v>
      </c>
      <c r="F53" s="622" t="s">
        <v>159</v>
      </c>
      <c r="G53" s="622">
        <v>43</v>
      </c>
      <c r="H53" s="622" t="s">
        <v>190</v>
      </c>
      <c r="I53" s="622">
        <v>71</v>
      </c>
      <c r="J53" s="621">
        <v>3</v>
      </c>
      <c r="K53" s="621">
        <v>4</v>
      </c>
      <c r="L53" s="621">
        <v>4</v>
      </c>
      <c r="M53" s="621">
        <v>5</v>
      </c>
      <c r="N53" s="621">
        <v>64</v>
      </c>
      <c r="O53" s="625">
        <f>(J53-1)*(60/N53)</f>
        <v>1.875</v>
      </c>
      <c r="P53" s="625">
        <f>(K53-1)*(60/N53)</f>
        <v>2.8125</v>
      </c>
      <c r="Q53" s="904">
        <f>(L53-1)*(60/N53)</f>
        <v>2.8125</v>
      </c>
      <c r="R53" s="625">
        <f>(M53-1)*(60/N53)</f>
        <v>3.75</v>
      </c>
      <c r="S53" s="626">
        <f>E53*N53/60</f>
        <v>54.4</v>
      </c>
      <c r="T53" s="622">
        <v>10</v>
      </c>
      <c r="U53" s="622">
        <v>10</v>
      </c>
      <c r="V53" s="622">
        <v>10</v>
      </c>
      <c r="W53" s="622">
        <v>10</v>
      </c>
      <c r="X53" s="621">
        <f>E53*(W53-1)+I53</f>
        <v>530</v>
      </c>
      <c r="Y53" s="627">
        <f>(W53-L53)/W53*100%</f>
        <v>0.6</v>
      </c>
      <c r="Z53" s="628">
        <f>($W53-L53)*60/$N53</f>
        <v>5.625</v>
      </c>
      <c r="AA53" s="634">
        <v>3</v>
      </c>
      <c r="AB53" s="919" t="s">
        <v>193</v>
      </c>
      <c r="AC53" s="630">
        <v>0.8695</v>
      </c>
      <c r="AD53" s="630">
        <v>0.58</v>
      </c>
      <c r="AE53" s="630">
        <v>0.247</v>
      </c>
      <c r="AF53" s="631">
        <v>78</v>
      </c>
      <c r="AG53" s="631">
        <v>44</v>
      </c>
      <c r="AH53" s="631">
        <v>69</v>
      </c>
      <c r="AI53" s="632" t="s"/>
    </row>
    <row r="54" spans="1:35" s="939" customFormat="1" ht="39" customHeight="1">
      <c r="A54" s="619">
        <f>ROW(D54)-5</f>
        <v>49</v>
      </c>
      <c r="B54" s="619" t="s">
        <v>58</v>
      </c>
      <c r="C54" s="619" t="s">
        <v>327</v>
      </c>
      <c r="D54" s="620" t="s">
        <v>540</v>
      </c>
      <c r="E54" s="622">
        <v>51</v>
      </c>
      <c r="F54" s="622" t="s">
        <v>159</v>
      </c>
      <c r="G54" s="622">
        <v>43</v>
      </c>
      <c r="H54" s="622" t="s">
        <v>190</v>
      </c>
      <c r="I54" s="622">
        <v>71</v>
      </c>
      <c r="J54" s="621">
        <v>3</v>
      </c>
      <c r="K54" s="621">
        <v>4</v>
      </c>
      <c r="L54" s="621">
        <v>4</v>
      </c>
      <c r="M54" s="621">
        <v>5</v>
      </c>
      <c r="N54" s="621">
        <v>64</v>
      </c>
      <c r="O54" s="625">
        <f>(J54-1)*(60/N54)</f>
        <v>1.875</v>
      </c>
      <c r="P54" s="625">
        <f>(K54-1)*(60/N54)</f>
        <v>2.8125</v>
      </c>
      <c r="Q54" s="904">
        <f>(L54-1)*(60/N54)</f>
        <v>2.8125</v>
      </c>
      <c r="R54" s="625">
        <f>(M54-1)*(60/N54)</f>
        <v>3.75</v>
      </c>
      <c r="S54" s="626">
        <f>E54*N54/60</f>
        <v>54.4</v>
      </c>
      <c r="T54" s="622">
        <v>10</v>
      </c>
      <c r="U54" s="622">
        <v>10</v>
      </c>
      <c r="V54" s="622">
        <v>10</v>
      </c>
      <c r="W54" s="622">
        <v>10</v>
      </c>
      <c r="X54" s="621">
        <f>T54*E54</f>
        <v>510</v>
      </c>
      <c r="Y54" s="627">
        <f>(W54-L54)/W54*100%</f>
        <v>0.6</v>
      </c>
      <c r="Z54" s="628">
        <f>($W54-L54)*60/$N54</f>
        <v>5.625</v>
      </c>
      <c r="AA54" s="634">
        <v>3</v>
      </c>
      <c r="AB54" s="919" t="s">
        <v>193</v>
      </c>
      <c r="AC54" s="630">
        <v>0.8695</v>
      </c>
      <c r="AD54" s="630">
        <v>0.58</v>
      </c>
      <c r="AE54" s="630">
        <v>0.247</v>
      </c>
      <c r="AF54" s="631">
        <v>78</v>
      </c>
      <c r="AG54" s="631">
        <v>44</v>
      </c>
      <c r="AH54" s="631">
        <v>69</v>
      </c>
      <c r="AI54" s="631" t="s"/>
    </row>
    <row r="55" spans="1:35" s="939" customFormat="1" ht="39" customHeight="1">
      <c r="A55" s="619">
        <f>ROW(D55)-5</f>
        <v>50</v>
      </c>
      <c r="B55" s="619" t="s">
        <v>508</v>
      </c>
      <c r="C55" s="619" t="s">
        <v>334</v>
      </c>
      <c r="D55" s="620" t="s">
        <v>541</v>
      </c>
      <c r="E55" s="621">
        <v>88</v>
      </c>
      <c r="F55" s="622" t="s">
        <v>31</v>
      </c>
      <c r="G55" s="621">
        <v>79</v>
      </c>
      <c r="H55" s="622" t="s">
        <v>244</v>
      </c>
      <c r="I55" s="621">
        <v>158</v>
      </c>
      <c r="J55" s="621">
        <v>2</v>
      </c>
      <c r="K55" s="621">
        <v>2</v>
      </c>
      <c r="L55" s="621">
        <v>3</v>
      </c>
      <c r="M55" s="621">
        <v>3</v>
      </c>
      <c r="N55" s="621">
        <v>39</v>
      </c>
      <c r="O55" s="625">
        <f>(J55-1)*(60/N55)</f>
        <v>1.53846153846154</v>
      </c>
      <c r="P55" s="625">
        <f>(K55-1)*(60/N55)</f>
        <v>1.53846153846154</v>
      </c>
      <c r="Q55" s="904">
        <f>(L55-1)*(60/N55)</f>
        <v>3.07692307692308</v>
      </c>
      <c r="R55" s="625">
        <f>(M55-1)*(60/N55)</f>
        <v>3.07692307692308</v>
      </c>
      <c r="S55" s="626">
        <f>E55*N55/60</f>
        <v>57.2</v>
      </c>
      <c r="T55" s="621">
        <v>3</v>
      </c>
      <c r="U55" s="621">
        <v>4</v>
      </c>
      <c r="V55" s="621">
        <v>5</v>
      </c>
      <c r="W55" s="621">
        <v>6</v>
      </c>
      <c r="X55" s="621">
        <f>W55*E55</f>
        <v>528</v>
      </c>
      <c r="Y55" s="627">
        <f>(W55-L55)/W55*100%</f>
        <v>0.5</v>
      </c>
      <c r="Z55" s="628">
        <f>($W55-L55)*60/$N55</f>
        <v>4.61538461538462</v>
      </c>
      <c r="AA55" s="634">
        <v>3.6</v>
      </c>
      <c r="AB55" s="634">
        <v>2.7</v>
      </c>
      <c r="AC55" s="630">
        <v>0.8695</v>
      </c>
      <c r="AD55" s="630">
        <v>0.58</v>
      </c>
      <c r="AE55" s="630">
        <v>0.203</v>
      </c>
      <c r="AF55" s="631">
        <v>88</v>
      </c>
      <c r="AG55" s="631">
        <v>25</v>
      </c>
      <c r="AH55" s="631">
        <v>49</v>
      </c>
      <c r="AI55" s="632" t="s"/>
    </row>
    <row r="56" spans="1:35" s="939" customFormat="1" ht="39" customHeight="1">
      <c r="A56" s="619">
        <f>ROW(D56)-5</f>
        <v>51</v>
      </c>
      <c r="B56" s="619" t="s">
        <v>508</v>
      </c>
      <c r="C56" s="619" t="s">
        <v>334</v>
      </c>
      <c r="D56" s="620" t="s">
        <v>542</v>
      </c>
      <c r="E56" s="621">
        <v>70</v>
      </c>
      <c r="F56" s="622" t="s">
        <v>31</v>
      </c>
      <c r="G56" s="621">
        <v>63</v>
      </c>
      <c r="H56" s="622" t="s">
        <v>244</v>
      </c>
      <c r="I56" s="621">
        <v>126</v>
      </c>
      <c r="J56" s="621">
        <v>3</v>
      </c>
      <c r="K56" s="621">
        <v>3</v>
      </c>
      <c r="L56" s="621">
        <v>3</v>
      </c>
      <c r="M56" s="621">
        <v>4</v>
      </c>
      <c r="N56" s="621">
        <v>39</v>
      </c>
      <c r="O56" s="625">
        <f>(J56-1)*(60/N56)</f>
        <v>3.07692307692308</v>
      </c>
      <c r="P56" s="625">
        <f>(K56-1)*(60/N56)</f>
        <v>3.07692307692308</v>
      </c>
      <c r="Q56" s="904">
        <f>(L56-1)*(60/N56)</f>
        <v>3.07692307692308</v>
      </c>
      <c r="R56" s="625">
        <f>(M56-1)*(60/N56)</f>
        <v>4.61538461538462</v>
      </c>
      <c r="S56" s="626">
        <f>E56*N56/60</f>
        <v>45.5</v>
      </c>
      <c r="T56" s="621">
        <v>3</v>
      </c>
      <c r="U56" s="621">
        <v>4</v>
      </c>
      <c r="V56" s="621">
        <v>5</v>
      </c>
      <c r="W56" s="621">
        <v>6</v>
      </c>
      <c r="X56" s="621">
        <f>W56*E56</f>
        <v>420</v>
      </c>
      <c r="Y56" s="627">
        <f>(W56-L56)/W56*100%</f>
        <v>0.5</v>
      </c>
      <c r="Z56" s="628">
        <f>($W56-L56)*60/$N56</f>
        <v>4.61538461538462</v>
      </c>
      <c r="AA56" s="634">
        <v>3.6</v>
      </c>
      <c r="AB56" s="634">
        <v>2.7</v>
      </c>
      <c r="AC56" s="630">
        <v>0.8695</v>
      </c>
      <c r="AD56" s="630">
        <v>0.58</v>
      </c>
      <c r="AE56" s="630">
        <v>0.203</v>
      </c>
      <c r="AF56" s="631">
        <v>88</v>
      </c>
      <c r="AG56" s="631">
        <v>25</v>
      </c>
      <c r="AH56" s="631">
        <v>49</v>
      </c>
      <c r="AI56" s="632" t="s"/>
    </row>
    <row r="57" spans="1:35" s="939" customFormat="1" ht="39" customHeight="1">
      <c r="A57" s="619">
        <f>ROW(D57)-5</f>
        <v>52</v>
      </c>
      <c r="B57" s="619" t="s">
        <v>508</v>
      </c>
      <c r="C57" s="619" t="s">
        <v>334</v>
      </c>
      <c r="D57" s="620" t="s">
        <v>543</v>
      </c>
      <c r="E57" s="621">
        <v>88</v>
      </c>
      <c r="F57" s="622" t="s">
        <v>31</v>
      </c>
      <c r="G57" s="621">
        <v>79</v>
      </c>
      <c r="H57" s="622" t="s">
        <v>244</v>
      </c>
      <c r="I57" s="621">
        <v>158</v>
      </c>
      <c r="J57" s="621">
        <v>2</v>
      </c>
      <c r="K57" s="621">
        <v>2</v>
      </c>
      <c r="L57" s="621">
        <v>3</v>
      </c>
      <c r="M57" s="621">
        <v>3</v>
      </c>
      <c r="N57" s="621">
        <v>37</v>
      </c>
      <c r="O57" s="625">
        <f>(J57-1)*(60/N57)</f>
        <v>1.62162162162162</v>
      </c>
      <c r="P57" s="625">
        <f>(K57-1)*(60/N57)</f>
        <v>1.62162162162162</v>
      </c>
      <c r="Q57" s="904">
        <f>(L57-1)*(60/N57)</f>
        <v>3.24324324324324</v>
      </c>
      <c r="R57" s="625">
        <f>(M57-1)*(60/N57)</f>
        <v>3.24324324324324</v>
      </c>
      <c r="S57" s="626">
        <f>E57*N57/60</f>
        <v>54.2666666666667</v>
      </c>
      <c r="T57" s="621">
        <v>4</v>
      </c>
      <c r="U57" s="621">
        <v>5</v>
      </c>
      <c r="V57" s="621">
        <v>6</v>
      </c>
      <c r="W57" s="621">
        <v>7</v>
      </c>
      <c r="X57" s="621">
        <f>W57*E57</f>
        <v>616</v>
      </c>
      <c r="Y57" s="627">
        <f>(W57-L57)/W57*100%</f>
        <v>0.571428571428572</v>
      </c>
      <c r="Z57" s="628">
        <f>($W57-L57)*60/$N57</f>
        <v>6.48648648648649</v>
      </c>
      <c r="AA57" s="634">
        <v>3.6</v>
      </c>
      <c r="AB57" s="634">
        <v>2.7</v>
      </c>
      <c r="AC57" s="630">
        <v>0.8695</v>
      </c>
      <c r="AD57" s="630">
        <v>0.58</v>
      </c>
      <c r="AE57" s="630">
        <v>0.203</v>
      </c>
      <c r="AF57" s="631">
        <v>88</v>
      </c>
      <c r="AG57" s="631">
        <v>25</v>
      </c>
      <c r="AH57" s="631">
        <v>49</v>
      </c>
      <c r="AI57" s="632" t="s"/>
    </row>
    <row r="58" spans="1:35" s="939" customFormat="1" ht="39" customHeight="1">
      <c r="A58" s="619">
        <f>ROW(D58)-5</f>
        <v>53</v>
      </c>
      <c r="B58" s="619" t="s">
        <v>508</v>
      </c>
      <c r="C58" s="619" t="s">
        <v>334</v>
      </c>
      <c r="D58" s="620" t="s">
        <v>544</v>
      </c>
      <c r="E58" s="621">
        <v>70</v>
      </c>
      <c r="F58" s="622" t="s">
        <v>31</v>
      </c>
      <c r="G58" s="621">
        <v>63</v>
      </c>
      <c r="H58" s="622" t="s">
        <v>244</v>
      </c>
      <c r="I58" s="621">
        <v>126</v>
      </c>
      <c r="J58" s="621">
        <v>3</v>
      </c>
      <c r="K58" s="621">
        <v>3</v>
      </c>
      <c r="L58" s="621">
        <v>3</v>
      </c>
      <c r="M58" s="621">
        <v>4</v>
      </c>
      <c r="N58" s="621">
        <v>31</v>
      </c>
      <c r="O58" s="625">
        <f>(J58-1)*(60/N58)</f>
        <v>3.87096774193548</v>
      </c>
      <c r="P58" s="625">
        <f>(K58-1)*(60/N58)</f>
        <v>3.87096774193548</v>
      </c>
      <c r="Q58" s="904">
        <f>(L58-1)*(60/N58)</f>
        <v>3.87096774193548</v>
      </c>
      <c r="R58" s="625">
        <f>(M58-1)*(60/N58)</f>
        <v>5.80645161290323</v>
      </c>
      <c r="S58" s="626">
        <f>E58*N58/60</f>
        <v>36.1666666666667</v>
      </c>
      <c r="T58" s="621">
        <v>4</v>
      </c>
      <c r="U58" s="621">
        <v>5</v>
      </c>
      <c r="V58" s="621">
        <v>6</v>
      </c>
      <c r="W58" s="621">
        <v>7</v>
      </c>
      <c r="X58" s="621">
        <f>W58*E58</f>
        <v>490</v>
      </c>
      <c r="Y58" s="627">
        <f>(W58-L58)/W58*100%</f>
        <v>0.571428571428572</v>
      </c>
      <c r="Z58" s="628">
        <f>($W58-L58)*60/$N58</f>
        <v>7.74193548387097</v>
      </c>
      <c r="AA58" s="634">
        <v>3.6</v>
      </c>
      <c r="AB58" s="634">
        <v>2.7</v>
      </c>
      <c r="AC58" s="630">
        <v>0.8695</v>
      </c>
      <c r="AD58" s="630">
        <v>0.58</v>
      </c>
      <c r="AE58" s="630">
        <v>0.203</v>
      </c>
      <c r="AF58" s="631">
        <v>88</v>
      </c>
      <c r="AG58" s="631">
        <v>25</v>
      </c>
      <c r="AH58" s="631">
        <v>49</v>
      </c>
      <c r="AI58" s="632" t="s"/>
    </row>
    <row r="59" spans="1:35" s="939" customFormat="1" ht="39" customHeight="1">
      <c r="A59" s="619">
        <f>ROW(D59)-5</f>
        <v>54</v>
      </c>
      <c r="B59" s="619" t="s">
        <v>486</v>
      </c>
      <c r="C59" s="619" t="s">
        <v>315</v>
      </c>
      <c r="D59" s="620" t="s">
        <v>545</v>
      </c>
      <c r="E59" s="912" t="s">
        <v>193</v>
      </c>
      <c r="F59" s="912" t="s">
        <v>193</v>
      </c>
      <c r="G59" s="912" t="s">
        <v>193</v>
      </c>
      <c r="H59" s="912" t="s">
        <v>193</v>
      </c>
      <c r="I59" s="912" t="s">
        <v>193</v>
      </c>
      <c r="J59" s="912" t="s">
        <v>193</v>
      </c>
      <c r="K59" s="912" t="s">
        <v>193</v>
      </c>
      <c r="L59" s="912" t="s">
        <v>193</v>
      </c>
      <c r="M59" s="912" t="s">
        <v>193</v>
      </c>
      <c r="N59" s="912" t="s">
        <v>193</v>
      </c>
      <c r="O59" s="913" t="s">
        <v>193</v>
      </c>
      <c r="P59" s="913" t="s">
        <v>193</v>
      </c>
      <c r="Q59" s="914" t="s">
        <v>193</v>
      </c>
      <c r="R59" s="913" t="s">
        <v>193</v>
      </c>
      <c r="S59" s="915" t="s">
        <v>193</v>
      </c>
      <c r="T59" s="916" t="s">
        <v>546</v>
      </c>
      <c r="U59" s="916" t="s">
        <v>546</v>
      </c>
      <c r="V59" s="916" t="s">
        <v>546</v>
      </c>
      <c r="W59" s="916" t="s">
        <v>546</v>
      </c>
      <c r="X59" s="916" t="s">
        <v>547</v>
      </c>
      <c r="Y59" s="917" t="s">
        <v>193</v>
      </c>
      <c r="Z59" s="918" t="s">
        <v>193</v>
      </c>
      <c r="AA59" s="919" t="s">
        <v>193</v>
      </c>
      <c r="AB59" s="919" t="s">
        <v>193</v>
      </c>
      <c r="AC59" s="920">
        <v>0.8695</v>
      </c>
      <c r="AD59" s="920">
        <v>0.58</v>
      </c>
      <c r="AE59" s="920">
        <v>0.29</v>
      </c>
      <c r="AF59" s="921" t="s">
        <v>193</v>
      </c>
      <c r="AG59" s="921" t="s">
        <v>193</v>
      </c>
      <c r="AH59" s="921" t="s">
        <v>193</v>
      </c>
      <c r="AI59" s="632" t="s">
        <v>548</v>
      </c>
    </row>
    <row r="60" spans="1:35" s="939" customFormat="1" ht="50.25" customHeight="1">
      <c r="A60" s="619">
        <f>ROW(D60)-5</f>
        <v>55</v>
      </c>
      <c r="B60" s="619" t="s">
        <v>58</v>
      </c>
      <c r="C60" s="619" t="s">
        <v>481</v>
      </c>
      <c r="D60" s="620" t="s">
        <v>48</v>
      </c>
      <c r="E60" s="624" t="s">
        <v>59</v>
      </c>
      <c r="F60" s="622" t="s">
        <v>50</v>
      </c>
      <c r="G60" s="624" t="s">
        <v>60</v>
      </c>
      <c r="H60" s="622" t="s">
        <v>32</v>
      </c>
      <c r="I60" s="624" t="s">
        <v>61</v>
      </c>
      <c r="J60" s="622" t="s">
        <v>63</v>
      </c>
      <c r="K60" s="622" t="s">
        <v>64</v>
      </c>
      <c r="L60" s="622" t="s">
        <v>65</v>
      </c>
      <c r="M60" s="622" t="s">
        <v>66</v>
      </c>
      <c r="N60" s="621">
        <v>600</v>
      </c>
      <c r="O60" s="624" t="s">
        <v>549</v>
      </c>
      <c r="P60" s="624" t="s">
        <v>550</v>
      </c>
      <c r="Q60" s="906" t="s">
        <v>551</v>
      </c>
      <c r="R60" s="624" t="s">
        <v>552</v>
      </c>
      <c r="S60" s="639" t="s">
        <v>553</v>
      </c>
      <c r="T60" s="621">
        <v>28</v>
      </c>
      <c r="U60" s="621">
        <v>28</v>
      </c>
      <c r="V60" s="621">
        <v>28</v>
      </c>
      <c r="W60" s="621">
        <v>28</v>
      </c>
      <c r="X60" s="644">
        <v>614</v>
      </c>
      <c r="Y60" s="645" t="s">
        <v>554</v>
      </c>
      <c r="Z60" s="640" t="s">
        <v>555</v>
      </c>
      <c r="AA60" s="634">
        <v>2.9</v>
      </c>
      <c r="AB60" s="634">
        <v>2.934</v>
      </c>
      <c r="AC60" s="630">
        <v>0.8695</v>
      </c>
      <c r="AD60" s="630">
        <v>0.58</v>
      </c>
      <c r="AE60" s="630">
        <v>0.232</v>
      </c>
      <c r="AF60" s="631">
        <v>46</v>
      </c>
      <c r="AG60" s="631">
        <v>57</v>
      </c>
      <c r="AH60" s="631">
        <v>50</v>
      </c>
      <c r="AI60" s="632" t="s"/>
    </row>
    <row r="61" spans="1:35" s="939" customFormat="1" ht="50.25" customHeight="1">
      <c r="A61" s="619">
        <f>ROW(D61)-5</f>
        <v>56</v>
      </c>
      <c r="B61" s="619" t="s">
        <v>508</v>
      </c>
      <c r="C61" s="619" t="s">
        <v>334</v>
      </c>
      <c r="D61" s="620" t="s">
        <v>557</v>
      </c>
      <c r="E61" s="624" t="s">
        <v>558</v>
      </c>
      <c r="F61" s="622" t="s">
        <v>31</v>
      </c>
      <c r="G61" s="624" t="s">
        <v>559</v>
      </c>
      <c r="H61" s="622" t="s">
        <v>244</v>
      </c>
      <c r="I61" s="624" t="s">
        <v>560</v>
      </c>
      <c r="J61" s="624" t="s">
        <v>264</v>
      </c>
      <c r="K61" s="624" t="s">
        <v>248</v>
      </c>
      <c r="L61" s="624" t="s">
        <v>248</v>
      </c>
      <c r="M61" s="624" t="s">
        <v>561</v>
      </c>
      <c r="N61" s="624">
        <v>101</v>
      </c>
      <c r="O61" s="648" t="s">
        <v>562</v>
      </c>
      <c r="P61" s="648" t="s">
        <v>563</v>
      </c>
      <c r="Q61" s="910" t="s">
        <v>563</v>
      </c>
      <c r="R61" s="648" t="s">
        <v>564</v>
      </c>
      <c r="S61" s="639" t="s">
        <v>565</v>
      </c>
      <c r="T61" s="621">
        <v>4</v>
      </c>
      <c r="U61" s="621">
        <v>5</v>
      </c>
      <c r="V61" s="621">
        <v>6</v>
      </c>
      <c r="W61" s="621">
        <v>7</v>
      </c>
      <c r="X61" s="624" t="s">
        <v>566</v>
      </c>
      <c r="Y61" s="645" t="s">
        <v>567</v>
      </c>
      <c r="Z61" s="640" t="s">
        <v>568</v>
      </c>
      <c r="AA61" s="634">
        <v>4.1</v>
      </c>
      <c r="AB61" s="634">
        <v>3.15</v>
      </c>
      <c r="AC61" s="630">
        <v>0.8695</v>
      </c>
      <c r="AD61" s="630">
        <v>0.58</v>
      </c>
      <c r="AE61" s="630">
        <v>0.203</v>
      </c>
      <c r="AF61" s="631">
        <v>90</v>
      </c>
      <c r="AG61" s="631">
        <v>37</v>
      </c>
      <c r="AH61" s="631">
        <v>63</v>
      </c>
      <c r="AI61" s="632" t="s"/>
    </row>
    <row r="62" spans="1:35" s="939" customFormat="1" ht="50.25" customHeight="1">
      <c r="A62" s="619">
        <f>ROW(D62)-5</f>
        <v>57</v>
      </c>
      <c r="B62" s="619" t="s">
        <v>508</v>
      </c>
      <c r="C62" s="619" t="s">
        <v>334</v>
      </c>
      <c r="D62" s="620" t="s">
        <v>569</v>
      </c>
      <c r="E62" s="624" t="s">
        <v>558</v>
      </c>
      <c r="F62" s="622" t="s">
        <v>31</v>
      </c>
      <c r="G62" s="624" t="s">
        <v>559</v>
      </c>
      <c r="H62" s="622" t="s">
        <v>244</v>
      </c>
      <c r="I62" s="624" t="s">
        <v>560</v>
      </c>
      <c r="J62" s="624" t="s">
        <v>264</v>
      </c>
      <c r="K62" s="624" t="s">
        <v>248</v>
      </c>
      <c r="L62" s="624" t="s">
        <v>248</v>
      </c>
      <c r="M62" s="624" t="s">
        <v>561</v>
      </c>
      <c r="N62" s="624">
        <v>84</v>
      </c>
      <c r="O62" s="648" t="s">
        <v>570</v>
      </c>
      <c r="P62" s="648" t="s">
        <v>571</v>
      </c>
      <c r="Q62" s="910" t="s">
        <v>571</v>
      </c>
      <c r="R62" s="648" t="s">
        <v>572</v>
      </c>
      <c r="S62" s="639" t="s">
        <v>573</v>
      </c>
      <c r="T62" s="621">
        <v>6</v>
      </c>
      <c r="U62" s="621">
        <v>7</v>
      </c>
      <c r="V62" s="621">
        <v>8</v>
      </c>
      <c r="W62" s="621">
        <v>9</v>
      </c>
      <c r="X62" s="624" t="s">
        <v>574</v>
      </c>
      <c r="Y62" s="645" t="s">
        <v>575</v>
      </c>
      <c r="Z62" s="640" t="s">
        <v>576</v>
      </c>
      <c r="AA62" s="634">
        <v>4.1</v>
      </c>
      <c r="AB62" s="634">
        <v>3.15</v>
      </c>
      <c r="AC62" s="630">
        <v>0.8695</v>
      </c>
      <c r="AD62" s="630">
        <v>0.58</v>
      </c>
      <c r="AE62" s="630">
        <v>0.203</v>
      </c>
      <c r="AF62" s="631">
        <v>90</v>
      </c>
      <c r="AG62" s="631">
        <v>37</v>
      </c>
      <c r="AH62" s="631">
        <v>63</v>
      </c>
      <c r="AI62" s="632" t="s"/>
    </row>
    <row r="63" spans="1:35" s="939" customFormat="1" ht="50.25" customHeight="1">
      <c r="A63" s="619">
        <f>ROW(D63)-5</f>
        <v>58</v>
      </c>
      <c r="B63" s="619" t="s">
        <v>508</v>
      </c>
      <c r="C63" s="619" t="s">
        <v>334</v>
      </c>
      <c r="D63" s="620" t="s">
        <v>577</v>
      </c>
      <c r="E63" s="624" t="s">
        <v>578</v>
      </c>
      <c r="F63" s="622" t="s">
        <v>31</v>
      </c>
      <c r="G63" s="624" t="s">
        <v>579</v>
      </c>
      <c r="H63" s="622" t="s">
        <v>244</v>
      </c>
      <c r="I63" s="624" t="s">
        <v>580</v>
      </c>
      <c r="J63" s="633">
        <v>2</v>
      </c>
      <c r="K63" s="624" t="s">
        <v>264</v>
      </c>
      <c r="L63" s="624" t="s">
        <v>264</v>
      </c>
      <c r="M63" s="633">
        <v>3</v>
      </c>
      <c r="N63" s="633">
        <v>54</v>
      </c>
      <c r="O63" s="648">
        <v>1.22</v>
      </c>
      <c r="P63" s="648" t="s">
        <v>581</v>
      </c>
      <c r="Q63" s="910" t="s">
        <v>582</v>
      </c>
      <c r="R63" s="648">
        <v>2.43</v>
      </c>
      <c r="S63" s="639" t="s">
        <v>583</v>
      </c>
      <c r="T63" s="621">
        <v>4</v>
      </c>
      <c r="U63" s="621">
        <v>5</v>
      </c>
      <c r="V63" s="621">
        <v>6</v>
      </c>
      <c r="W63" s="621">
        <v>7</v>
      </c>
      <c r="X63" s="624" t="s">
        <v>584</v>
      </c>
      <c r="Y63" s="645" t="s">
        <v>585</v>
      </c>
      <c r="Z63" s="640" t="s">
        <v>586</v>
      </c>
      <c r="AA63" s="634">
        <v>4.1</v>
      </c>
      <c r="AB63" s="634">
        <v>3.15</v>
      </c>
      <c r="AC63" s="630">
        <v>0.8695</v>
      </c>
      <c r="AD63" s="630">
        <v>0.58</v>
      </c>
      <c r="AE63" s="630">
        <v>0.203</v>
      </c>
      <c r="AF63" s="631">
        <v>90</v>
      </c>
      <c r="AG63" s="631">
        <v>37</v>
      </c>
      <c r="AH63" s="631">
        <v>63</v>
      </c>
      <c r="AI63" s="632" t="s"/>
    </row>
    <row r="64" spans="1:35" s="939" customFormat="1" ht="39" customHeight="1">
      <c r="A64" s="619">
        <f>ROW(D64)-5</f>
        <v>59</v>
      </c>
      <c r="B64" s="619" t="s">
        <v>508</v>
      </c>
      <c r="C64" s="619" t="s">
        <v>334</v>
      </c>
      <c r="D64" s="620" t="s">
        <v>587</v>
      </c>
      <c r="E64" s="624" t="s">
        <v>578</v>
      </c>
      <c r="F64" s="622" t="s">
        <v>31</v>
      </c>
      <c r="G64" s="624" t="s">
        <v>579</v>
      </c>
      <c r="H64" s="622" t="s">
        <v>244</v>
      </c>
      <c r="I64" s="624" t="s">
        <v>580</v>
      </c>
      <c r="J64" s="633">
        <v>2</v>
      </c>
      <c r="K64" s="624" t="s">
        <v>264</v>
      </c>
      <c r="L64" s="624" t="s">
        <v>264</v>
      </c>
      <c r="M64" s="633">
        <v>3</v>
      </c>
      <c r="N64" s="633">
        <v>44</v>
      </c>
      <c r="O64" s="922">
        <v>1.46</v>
      </c>
      <c r="P64" s="922" t="s">
        <v>588</v>
      </c>
      <c r="Q64" s="923" t="s">
        <v>589</v>
      </c>
      <c r="R64" s="922">
        <v>2.91</v>
      </c>
      <c r="S64" s="639" t="s">
        <v>590</v>
      </c>
      <c r="T64" s="621">
        <v>6</v>
      </c>
      <c r="U64" s="621">
        <v>7</v>
      </c>
      <c r="V64" s="621">
        <v>8</v>
      </c>
      <c r="W64" s="621">
        <v>9</v>
      </c>
      <c r="X64" s="624" t="s">
        <v>591</v>
      </c>
      <c r="Y64" s="645" t="s">
        <v>592</v>
      </c>
      <c r="Z64" s="640" t="s">
        <v>593</v>
      </c>
      <c r="AA64" s="634">
        <v>4.1</v>
      </c>
      <c r="AB64" s="634">
        <v>3.15</v>
      </c>
      <c r="AC64" s="630">
        <v>0.8695</v>
      </c>
      <c r="AD64" s="630">
        <v>0.58</v>
      </c>
      <c r="AE64" s="630">
        <v>0.203</v>
      </c>
      <c r="AF64" s="631">
        <v>90</v>
      </c>
      <c r="AG64" s="631">
        <v>37</v>
      </c>
      <c r="AH64" s="631">
        <v>63</v>
      </c>
      <c r="AI64" s="632" t="s"/>
    </row>
    <row r="65" spans="1:35" ht="41" customHeight="1"/>
  </sheetData>
  <mergeCells count="14">
    <mergeCell ref="A1:AI1"/>
    <mergeCell ref="A2:AI2"/>
    <mergeCell ref="E3:S3"/>
    <mergeCell ref="T3:Z3"/>
    <mergeCell ref="AA3:AH3"/>
    <mergeCell ref="E4:I4"/>
    <mergeCell ref="J4:M4"/>
    <mergeCell ref="O4:R4"/>
    <mergeCell ref="T4:W4"/>
    <mergeCell ref="AA4:AB4"/>
    <mergeCell ref="AC4:AE4"/>
    <mergeCell ref="AF4:AH4"/>
    <mergeCell ref="A3:A4"/>
    <mergeCell ref="B3:D4"/>
  </mergeCells>
  <dataValidations>
    <dataValidation type="list" operator="between" allowBlank="1" showInputMessage="1" showErrorMessage="1" sqref="B6:B64">
      <formula1>"狙击,轻型,重型,弓箭,霰弹,空投,能量,技能"</formula1>
    </dataValidation>
    <dataValidation type="list" operator="between" allowBlank="1" showInputMessage="1" showErrorMessage="1" sqref="C6:C64">
      <formula1>"神射手,狙击枪,霰弹枪,冲锋枪,步枪,轻机枪,手枪"</formula1>
    </dataValidation>
  </dataValidations>
  <pageMargins left="0.7" right="0.7" top="0.75" bottom="0.75" header="0.3" footer="0.3"/>
  <headerFooter/>
  <tableParts count="1">
    <tablePart r:id="rId0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TTK排行榜"/>
  <dimension ref="W76"/>
  <sheetViews>
    <sheetView showGridLines="1" zoomScale="70" zoomScaleNormal="70" workbookViewId="0">
      <pane ySplit="8" topLeftCell="A9" activePane="bottomLeft" state="frozen"/>
    </sheetView>
  </sheetViews>
  <sheetFormatPr defaultColWidth="9" defaultRowHeight="34" customHeight="1"/>
  <cols>
    <col min="1" max="1" width="12.1667" style="950" customWidth="1"/>
    <col min="2" max="2" width="10.3833" style="950" customWidth="1"/>
    <col min="3" max="3" width="9.75" style="950" customWidth="1"/>
    <col min="4" max="4" width="17.4167" style="950" customWidth="1"/>
    <col min="5" max="5" width="13.2417" style="950" customWidth="1"/>
    <col min="6" max="6" width="10.05" style="950" customWidth="1"/>
    <col min="7" max="7" width="12.75" style="950" customWidth="1"/>
    <col min="8" max="8" width="9.56667" style="950" customWidth="1"/>
    <col min="9" max="9" width="13.8583" style="950" customWidth="1"/>
    <col min="10" max="10" width="10.05" style="950" hidden="1" customWidth="1"/>
    <col min="11" max="12" width="15.5833" style="950" customWidth="1"/>
    <col min="13" max="16" width="10.5833" style="950" customWidth="1"/>
    <col min="17" max="20" width="14.5833" style="950" customWidth="1"/>
    <col min="21" max="21" width="14.5833" style="950" hidden="1" customWidth="1"/>
    <col min="22" max="22" width="14.5833" style="950" customWidth="1"/>
    <col min="23" max="23" width="64.0667" style="950" customWidth="1"/>
  </cols>
  <sheetData>
    <row r="1" spans="1:23" s="946" customFormat="1" ht="44.25" customHeight="1">
      <c r="A1" s="650" t="s">
        <v>1</v>
      </c>
      <c r="B1" s="651" t="s"/>
      <c r="C1" s="651" t="s"/>
      <c r="D1" s="651" t="s"/>
      <c r="E1" s="651" t="s"/>
      <c r="F1" s="651" t="s"/>
      <c r="G1" s="651" t="s"/>
      <c r="H1" s="651" t="s"/>
      <c r="I1" s="651" t="s"/>
      <c r="J1" s="650" t="s"/>
      <c r="K1" s="651" t="s"/>
      <c r="L1" s="650" t="s"/>
      <c r="M1" s="651" t="s"/>
      <c r="N1" s="651" t="s"/>
      <c r="O1" s="651" t="s"/>
      <c r="P1" s="651" t="s"/>
      <c r="Q1" s="651" t="s"/>
      <c r="R1" s="651" t="s"/>
      <c r="S1" s="651" t="s"/>
      <c r="T1" s="651" t="s"/>
      <c r="U1" s="650" t="s"/>
      <c r="V1" s="652" t="s"/>
      <c r="W1" s="651" t="s"/>
    </row>
    <row r="2" spans="1:23" s="947" customFormat="1" ht="30" customHeight="1">
      <c r="A2" s="653" t="s">
        <v>2</v>
      </c>
      <c r="B2" s="654" t="s"/>
      <c r="C2" s="654" t="s"/>
      <c r="D2" s="654" t="s"/>
      <c r="E2" s="654" t="s"/>
      <c r="F2" s="654" t="s"/>
      <c r="G2" s="654" t="s"/>
      <c r="H2" s="654" t="s"/>
      <c r="I2" s="654" t="s"/>
      <c r="J2" s="653" t="s"/>
      <c r="K2" s="654" t="s"/>
      <c r="L2" s="653" t="s"/>
      <c r="M2" s="654" t="s"/>
      <c r="N2" s="654" t="s"/>
      <c r="O2" s="654" t="s"/>
      <c r="P2" s="654" t="s"/>
      <c r="Q2" s="654" t="s"/>
      <c r="R2" s="654" t="s"/>
      <c r="S2" s="654" t="s"/>
      <c r="T2" s="654" t="s"/>
      <c r="U2" s="653" t="s"/>
      <c r="V2" s="655" t="s"/>
      <c r="W2" s="654" t="s"/>
    </row>
    <row r="3" spans="1:23" s="946" customFormat="1" ht="30" hidden="1" customHeight="1">
      <c r="A3" s="656" t="s">
        <v>632</v>
      </c>
      <c r="B3" s="654" t="s"/>
      <c r="C3" s="654" t="s"/>
      <c r="D3" s="654" t="s"/>
      <c r="E3" s="654" t="s"/>
      <c r="F3" s="654" t="s"/>
      <c r="G3" s="654" t="s"/>
      <c r="H3" s="654" t="s"/>
      <c r="I3" s="654" t="s"/>
      <c r="J3" s="656" t="s"/>
      <c r="K3" s="654" t="s"/>
      <c r="L3" s="656" t="s"/>
      <c r="M3" s="654" t="s"/>
      <c r="N3" s="654" t="s"/>
      <c r="O3" s="654" t="s"/>
      <c r="P3" s="654" t="s"/>
      <c r="Q3" s="654" t="s"/>
      <c r="R3" s="654" t="s"/>
      <c r="S3" s="654" t="s"/>
      <c r="T3" s="654" t="s"/>
      <c r="U3" s="656" t="s"/>
      <c r="V3" s="657" t="s"/>
      <c r="W3" s="654" t="s"/>
    </row>
    <row r="4" spans="1:23" s="948" customFormat="1" ht="27.75" hidden="1" customHeight="1">
      <c r="A4" s="658" t="s">
        <v>3</v>
      </c>
      <c r="B4" s="654" t="s"/>
      <c r="C4" s="654" t="s"/>
      <c r="D4" s="654" t="s"/>
      <c r="E4" s="654" t="s"/>
      <c r="F4" s="654" t="s"/>
      <c r="G4" s="654" t="s"/>
      <c r="H4" s="654" t="s"/>
      <c r="I4" s="659" t="s">
        <v>4</v>
      </c>
      <c r="J4" s="659" t="s"/>
      <c r="K4" s="654" t="s"/>
      <c r="L4" s="659" t="s"/>
      <c r="M4" s="654" t="s"/>
      <c r="N4" s="654" t="s"/>
      <c r="O4" s="654" t="s"/>
      <c r="P4" s="654" t="s"/>
      <c r="Q4" s="654" t="s"/>
      <c r="R4" s="654" t="s"/>
      <c r="S4" s="660" t="s">
        <v>5</v>
      </c>
      <c r="T4" s="661" t="s"/>
      <c r="U4" s="662" t="s"/>
      <c r="V4" s="663" t="s"/>
      <c r="W4" s="664" t="s"/>
    </row>
    <row r="5" spans="1:23" s="948" customFormat="1" ht="176.25" hidden="1" customHeight="1">
      <c r="A5" s="665" t="s"/>
      <c r="B5" s="666" t="s"/>
      <c r="C5" s="666" t="s"/>
      <c r="D5" s="666" t="s"/>
      <c r="E5" s="666" t="s"/>
      <c r="F5" s="666" t="s"/>
      <c r="G5" s="666" t="s"/>
      <c r="H5" s="666" t="s"/>
      <c r="I5" s="667" t="s"/>
      <c r="J5" s="667" t="s"/>
      <c r="K5" s="666" t="s"/>
      <c r="L5" s="667" t="s"/>
      <c r="M5" s="666" t="s"/>
      <c r="N5" s="666" t="s"/>
      <c r="O5" s="666" t="s"/>
      <c r="P5" s="666" t="s"/>
      <c r="Q5" s="666" t="s"/>
      <c r="R5" s="666" t="s"/>
      <c r="S5" s="668" t="s"/>
      <c r="T5" s="666" t="s"/>
      <c r="U5" s="668" t="s"/>
      <c r="V5" s="669" t="s"/>
      <c r="W5" s="666" t="s"/>
    </row>
    <row r="6" spans="1:23" s="946" customFormat="1" ht="26.25" customHeight="1">
      <c r="A6" s="670" t="s">
        <v>633</v>
      </c>
      <c r="B6" s="670" t="s">
        <v>6</v>
      </c>
      <c r="C6" s="671" t="s"/>
      <c r="D6" s="671" t="s"/>
      <c r="E6" s="672" t="s">
        <v>7</v>
      </c>
      <c r="F6" s="673" t="s"/>
      <c r="G6" s="673" t="s"/>
      <c r="H6" s="673" t="s"/>
      <c r="I6" s="673" t="s"/>
      <c r="J6" s="672" t="s">
        <v>8</v>
      </c>
      <c r="K6" s="672" t="s">
        <v>9</v>
      </c>
      <c r="L6" s="674" t="s">
        <v>595</v>
      </c>
      <c r="M6" s="672" t="s">
        <v>10</v>
      </c>
      <c r="N6" s="673" t="s"/>
      <c r="O6" s="673" t="s"/>
      <c r="P6" s="673" t="s"/>
      <c r="Q6" s="675" t="s">
        <v>11</v>
      </c>
      <c r="R6" s="673" t="s"/>
      <c r="S6" s="673" t="s"/>
      <c r="T6" s="673" t="s"/>
      <c r="U6" s="675" t="s">
        <v>12</v>
      </c>
      <c r="V6" s="676" t="s">
        <v>634</v>
      </c>
      <c r="W6" s="670" t="s">
        <v>13</v>
      </c>
    </row>
    <row r="7" spans="1:23" s="946" customFormat="1" ht="24" customHeight="1">
      <c r="A7" s="671" t="s"/>
      <c r="B7" s="671" t="s"/>
      <c r="C7" s="671" t="s"/>
      <c r="D7" s="671" t="s"/>
      <c r="E7" s="670" t="s">
        <v>14</v>
      </c>
      <c r="F7" s="670" t="s">
        <v>15</v>
      </c>
      <c r="G7" s="677" t="s"/>
      <c r="H7" s="670" t="s">
        <v>16</v>
      </c>
      <c r="I7" s="677" t="s"/>
      <c r="J7" s="678" t="s"/>
      <c r="K7" s="673" t="s"/>
      <c r="L7" s="679" t="s"/>
      <c r="M7" s="676" t="s">
        <v>17</v>
      </c>
      <c r="N7" s="676" t="s">
        <v>18</v>
      </c>
      <c r="O7" s="676" t="s">
        <v>19</v>
      </c>
      <c r="P7" s="676" t="s">
        <v>20</v>
      </c>
      <c r="Q7" s="676" t="s">
        <v>17</v>
      </c>
      <c r="R7" s="676" t="s">
        <v>18</v>
      </c>
      <c r="S7" s="676" t="s">
        <v>19</v>
      </c>
      <c r="T7" s="676" t="s">
        <v>20</v>
      </c>
      <c r="U7" s="678" t="s"/>
      <c r="V7" s="678" t="s"/>
      <c r="W7" s="671" t="s"/>
    </row>
    <row r="8" spans="1:23" s="946" customFormat="1" ht="27" customHeight="1">
      <c r="A8" s="671" t="s"/>
      <c r="B8" s="671" t="s"/>
      <c r="C8" s="671" t="s"/>
      <c r="D8" s="671" t="s"/>
      <c r="E8" s="677" t="s"/>
      <c r="F8" s="676" t="s">
        <v>21</v>
      </c>
      <c r="G8" s="676" t="s">
        <v>22</v>
      </c>
      <c r="H8" s="676" t="s">
        <v>21</v>
      </c>
      <c r="I8" s="676" t="s">
        <v>22</v>
      </c>
      <c r="J8" s="678" t="s"/>
      <c r="K8" s="673" t="s"/>
      <c r="L8" s="680" t="s"/>
      <c r="M8" s="677" t="s"/>
      <c r="N8" s="677" t="s"/>
      <c r="O8" s="677" t="s"/>
      <c r="P8" s="677" t="s"/>
      <c r="Q8" s="677" t="s"/>
      <c r="R8" s="677" t="s"/>
      <c r="S8" s="677" t="s"/>
      <c r="T8" s="677" t="s"/>
      <c r="U8" s="678" t="s"/>
      <c r="V8" s="678" t="s"/>
      <c r="W8" s="671" t="s"/>
    </row>
    <row r="9" spans="1:23" ht="38" customHeight="1">
      <c r="A9" s="681">
        <v>1</v>
      </c>
      <c r="B9" s="682" t="s">
        <v>23</v>
      </c>
      <c r="C9" s="683" t="s"/>
      <c r="D9" s="683" t="s"/>
      <c r="E9" s="682">
        <v>14</v>
      </c>
      <c r="F9" s="682" t="s">
        <v>24</v>
      </c>
      <c r="G9" s="682">
        <v>14</v>
      </c>
      <c r="H9" s="682" t="s">
        <v>25</v>
      </c>
      <c r="I9" s="682">
        <v>28</v>
      </c>
      <c r="J9" s="682" t="s"/>
      <c r="K9" s="684">
        <v>173</v>
      </c>
      <c r="L9" s="684" t="s"/>
      <c r="M9" s="684">
        <v>11</v>
      </c>
      <c r="N9" s="684">
        <v>13</v>
      </c>
      <c r="O9" s="684">
        <v>15</v>
      </c>
      <c r="P9" s="684">
        <v>17</v>
      </c>
      <c r="Q9" s="685" t="s">
        <v>26</v>
      </c>
      <c r="R9" s="685" t="s">
        <v>27</v>
      </c>
      <c r="S9" s="686" t="s">
        <v>635</v>
      </c>
      <c r="T9" s="687" t="s">
        <v>28</v>
      </c>
      <c r="U9" s="687" t="s"/>
      <c r="V9" s="688">
        <v>280</v>
      </c>
      <c r="W9" s="689" t="s"/>
    </row>
    <row r="10" spans="1:23" s="949" customFormat="1" ht="37.5" customHeight="1">
      <c r="A10" s="681">
        <v>2</v>
      </c>
      <c r="B10" s="685" t="s">
        <v>29</v>
      </c>
      <c r="C10" s="690" t="s"/>
      <c r="D10" s="682" t="s">
        <v>30</v>
      </c>
      <c r="E10" s="682">
        <v>16</v>
      </c>
      <c r="F10" s="685" t="s">
        <v>31</v>
      </c>
      <c r="G10" s="682">
        <v>14</v>
      </c>
      <c r="H10" s="682" t="s">
        <v>32</v>
      </c>
      <c r="I10" s="682">
        <v>20</v>
      </c>
      <c r="J10" s="682" t="s"/>
      <c r="K10" s="685" t="s">
        <v>33</v>
      </c>
      <c r="L10" s="691">
        <v>300</v>
      </c>
      <c r="M10" s="685">
        <v>10</v>
      </c>
      <c r="N10" s="682">
        <v>11</v>
      </c>
      <c r="O10" s="682">
        <v>13</v>
      </c>
      <c r="P10" s="685">
        <v>15</v>
      </c>
      <c r="Q10" s="685" t="s">
        <v>34</v>
      </c>
      <c r="R10" s="685" t="s">
        <v>35</v>
      </c>
      <c r="S10" s="685" t="s">
        <v>36</v>
      </c>
      <c r="T10" s="685" t="s">
        <v>37</v>
      </c>
      <c r="U10" s="685" t="s"/>
      <c r="V10" s="688">
        <v>128</v>
      </c>
      <c r="W10" s="692" t="s"/>
    </row>
    <row r="11" spans="1:23" s="949" customFormat="1" ht="36.75" customHeight="1">
      <c r="A11" s="693" t="s"/>
      <c r="B11" s="694" t="s"/>
      <c r="C11" s="694" t="s"/>
      <c r="D11" s="682" t="s">
        <v>38</v>
      </c>
      <c r="E11" s="682" t="s"/>
      <c r="F11" s="685" t="s"/>
      <c r="G11" s="682" t="s"/>
      <c r="H11" s="682" t="s"/>
      <c r="I11" s="682" t="s"/>
      <c r="J11" s="682" t="s"/>
      <c r="K11" s="695" t="s"/>
      <c r="L11" s="696" t="s"/>
      <c r="M11" s="685" t="s"/>
      <c r="N11" s="682" t="s"/>
      <c r="O11" s="682" t="s"/>
      <c r="P11" s="685" t="s"/>
      <c r="Q11" s="685" t="s">
        <v>39</v>
      </c>
      <c r="R11" s="685" t="s">
        <v>40</v>
      </c>
      <c r="S11" s="685" t="s">
        <v>41</v>
      </c>
      <c r="T11" s="685" t="s">
        <v>42</v>
      </c>
      <c r="U11" s="685" t="s"/>
      <c r="V11" s="688">
        <v>176</v>
      </c>
      <c r="W11" s="685" t="s"/>
    </row>
    <row r="12" spans="1:23" s="949" customFormat="1" ht="38.25" customHeight="1">
      <c r="A12" s="697" t="s"/>
      <c r="B12" s="690" t="s"/>
      <c r="C12" s="690" t="s"/>
      <c r="D12" s="682" t="s">
        <v>43</v>
      </c>
      <c r="E12" s="690" t="s"/>
      <c r="F12" s="683" t="s"/>
      <c r="G12" s="690" t="s"/>
      <c r="H12" s="683" t="s"/>
      <c r="I12" s="690" t="s"/>
      <c r="J12" s="682" t="s"/>
      <c r="K12" s="698" t="s"/>
      <c r="L12" s="699" t="s"/>
      <c r="M12" s="698" t="s"/>
      <c r="N12" s="690" t="s"/>
      <c r="O12" s="690" t="s"/>
      <c r="P12" s="698" t="s"/>
      <c r="Q12" s="682" t="s">
        <v>44</v>
      </c>
      <c r="R12" s="682" t="s">
        <v>45</v>
      </c>
      <c r="S12" s="700" t="s">
        <v>46</v>
      </c>
      <c r="T12" s="682" t="s">
        <v>47</v>
      </c>
      <c r="U12" s="682" t="s"/>
      <c r="V12" s="701">
        <v>256</v>
      </c>
      <c r="W12" s="702" t="s"/>
    </row>
    <row r="13" spans="1:23" ht="36.75" hidden="1" customHeight="1">
      <c r="A13" s="703">
        <v>3</v>
      </c>
      <c r="B13" s="704" t="s">
        <v>48</v>
      </c>
      <c r="C13" s="705" t="s"/>
      <c r="D13" s="682" t="s">
        <v>49</v>
      </c>
      <c r="E13" s="706">
        <v>19</v>
      </c>
      <c r="F13" s="706" t="s">
        <v>50</v>
      </c>
      <c r="G13" s="706">
        <v>16</v>
      </c>
      <c r="H13" s="706" t="s">
        <v>32</v>
      </c>
      <c r="I13" s="706">
        <v>24</v>
      </c>
      <c r="J13" s="682" t="s"/>
      <c r="K13" s="685" t="s">
        <v>51</v>
      </c>
      <c r="L13" s="691" t="s"/>
      <c r="M13" s="706">
        <v>8</v>
      </c>
      <c r="N13" s="706">
        <v>10</v>
      </c>
      <c r="O13" s="706">
        <v>11</v>
      </c>
      <c r="P13" s="706">
        <v>12</v>
      </c>
      <c r="Q13" s="706" t="s">
        <v>52</v>
      </c>
      <c r="R13" s="706" t="s">
        <v>53</v>
      </c>
      <c r="S13" s="706" t="s">
        <v>54</v>
      </c>
      <c r="T13" s="706" t="s">
        <v>55</v>
      </c>
      <c r="U13" s="682" t="s"/>
      <c r="V13" s="707">
        <v>190</v>
      </c>
      <c r="W13" s="708" t="s"/>
    </row>
    <row r="14" spans="1:23" ht="36.75" hidden="1" customHeight="1">
      <c r="A14" s="679" t="s"/>
      <c r="B14" s="709" t="s"/>
      <c r="C14" s="710" t="s"/>
      <c r="D14" s="682" t="s">
        <v>56</v>
      </c>
      <c r="E14" s="680" t="s"/>
      <c r="F14" s="679" t="s"/>
      <c r="G14" s="680" t="s"/>
      <c r="H14" s="679" t="s"/>
      <c r="I14" s="680" t="s"/>
      <c r="J14" s="682" t="s"/>
      <c r="K14" s="685" t="s">
        <v>57</v>
      </c>
      <c r="L14" s="699" t="s"/>
      <c r="M14" s="680" t="s"/>
      <c r="N14" s="680" t="s"/>
      <c r="O14" s="680" t="s"/>
      <c r="P14" s="680" t="s"/>
      <c r="Q14" s="680" t="s"/>
      <c r="R14" s="680" t="s"/>
      <c r="S14" s="680" t="s"/>
      <c r="T14" s="680" t="s"/>
      <c r="U14" s="682" t="s"/>
      <c r="V14" s="680" t="s"/>
      <c r="W14" s="679" t="s"/>
    </row>
    <row r="15" spans="1:23" ht="36.75" customHeight="1">
      <c r="A15" s="680" t="s"/>
      <c r="B15" s="711" t="s"/>
      <c r="C15" s="712" t="s"/>
      <c r="D15" s="682" t="s">
        <v>58</v>
      </c>
      <c r="E15" s="682" t="s">
        <v>59</v>
      </c>
      <c r="F15" s="680" t="s"/>
      <c r="G15" s="682" t="s">
        <v>60</v>
      </c>
      <c r="H15" s="680" t="s"/>
      <c r="I15" s="682" t="s">
        <v>61</v>
      </c>
      <c r="J15" s="682" t="s"/>
      <c r="K15" s="685" t="s">
        <v>62</v>
      </c>
      <c r="L15" s="685">
        <v>600</v>
      </c>
      <c r="M15" s="682" t="s">
        <v>63</v>
      </c>
      <c r="N15" s="682" t="s">
        <v>64</v>
      </c>
      <c r="O15" s="682" t="s">
        <v>65</v>
      </c>
      <c r="P15" s="682" t="s">
        <v>66</v>
      </c>
      <c r="Q15" s="682" t="s">
        <v>67</v>
      </c>
      <c r="R15" s="682" t="s">
        <v>68</v>
      </c>
      <c r="S15" s="713" t="s">
        <v>636</v>
      </c>
      <c r="T15" s="682" t="s">
        <v>69</v>
      </c>
      <c r="U15" s="682" t="s"/>
      <c r="V15" s="701">
        <v>245</v>
      </c>
      <c r="W15" s="680" t="s"/>
    </row>
    <row r="16" spans="1:23" ht="33" customHeight="1">
      <c r="A16" s="703">
        <v>4</v>
      </c>
      <c r="B16" s="704" t="s">
        <v>70</v>
      </c>
      <c r="C16" s="705" t="s"/>
      <c r="D16" s="682" t="s">
        <v>71</v>
      </c>
      <c r="E16" s="682">
        <v>17</v>
      </c>
      <c r="F16" s="706" t="s">
        <v>50</v>
      </c>
      <c r="G16" s="682">
        <v>14</v>
      </c>
      <c r="H16" s="706" t="s">
        <v>72</v>
      </c>
      <c r="I16" s="682">
        <v>21</v>
      </c>
      <c r="J16" s="682" t="s"/>
      <c r="K16" s="706" t="s">
        <v>73</v>
      </c>
      <c r="L16" s="706" t="s"/>
      <c r="M16" s="682">
        <v>9</v>
      </c>
      <c r="N16" s="682">
        <v>11</v>
      </c>
      <c r="O16" s="682">
        <v>12</v>
      </c>
      <c r="P16" s="682">
        <v>14</v>
      </c>
      <c r="Q16" s="685" t="s">
        <v>74</v>
      </c>
      <c r="R16" s="685" t="s">
        <v>75</v>
      </c>
      <c r="S16" s="714" t="s">
        <v>76</v>
      </c>
      <c r="T16" s="685" t="s">
        <v>77</v>
      </c>
      <c r="U16" s="685" t="s"/>
      <c r="V16" s="688">
        <v>238</v>
      </c>
      <c r="W16" s="708" t="s"/>
    </row>
    <row r="17" spans="1:23" ht="35.25" customHeight="1">
      <c r="A17" s="680" t="s"/>
      <c r="B17" s="711" t="s"/>
      <c r="C17" s="712" t="s"/>
      <c r="D17" s="682" t="s">
        <v>78</v>
      </c>
      <c r="E17" s="682">
        <v>16</v>
      </c>
      <c r="F17" s="680" t="s"/>
      <c r="G17" s="682">
        <v>13</v>
      </c>
      <c r="H17" s="680" t="s"/>
      <c r="I17" s="682">
        <v>20</v>
      </c>
      <c r="J17" s="682" t="s"/>
      <c r="K17" s="680" t="s"/>
      <c r="L17" s="715">
        <v>641</v>
      </c>
      <c r="M17" s="682">
        <v>10</v>
      </c>
      <c r="N17" s="682">
        <v>11</v>
      </c>
      <c r="O17" s="682">
        <v>13</v>
      </c>
      <c r="P17" s="682">
        <v>15</v>
      </c>
      <c r="Q17" s="682" t="s">
        <v>44</v>
      </c>
      <c r="R17" s="682" t="s">
        <v>79</v>
      </c>
      <c r="S17" s="682" t="s">
        <v>80</v>
      </c>
      <c r="T17" s="682" t="s">
        <v>81</v>
      </c>
      <c r="U17" s="682" t="s"/>
      <c r="V17" s="701">
        <v>238</v>
      </c>
      <c r="W17" s="680" t="s"/>
    </row>
    <row r="18" spans="1:23" ht="52.5" customHeight="1">
      <c r="A18" s="681">
        <v>5</v>
      </c>
      <c r="B18" s="716" t="s">
        <v>82</v>
      </c>
      <c r="C18" s="717" t="s"/>
      <c r="D18" s="718" t="s"/>
      <c r="E18" s="685">
        <v>20</v>
      </c>
      <c r="F18" s="685" t="s">
        <v>83</v>
      </c>
      <c r="G18" s="682">
        <v>15</v>
      </c>
      <c r="H18" s="682" t="s">
        <v>32</v>
      </c>
      <c r="I18" s="682">
        <v>25</v>
      </c>
      <c r="J18" s="682" t="s"/>
      <c r="K18" s="685" t="s">
        <v>84</v>
      </c>
      <c r="L18" s="685">
        <v>672</v>
      </c>
      <c r="M18" s="685">
        <v>8</v>
      </c>
      <c r="N18" s="685">
        <v>9</v>
      </c>
      <c r="O18" s="685">
        <v>10</v>
      </c>
      <c r="P18" s="685">
        <v>12</v>
      </c>
      <c r="Q18" s="685" t="s">
        <v>85</v>
      </c>
      <c r="R18" s="685" t="s">
        <v>86</v>
      </c>
      <c r="S18" s="686" t="s">
        <v>637</v>
      </c>
      <c r="T18" s="685" t="s">
        <v>87</v>
      </c>
      <c r="U18" s="685" t="s"/>
      <c r="V18" s="688">
        <v>240</v>
      </c>
      <c r="W18" s="719" t="s"/>
    </row>
    <row r="19" spans="1:23" s="949" customFormat="1" ht="39.75" customHeight="1">
      <c r="A19" s="703">
        <v>6</v>
      </c>
      <c r="B19" s="704" t="s">
        <v>88</v>
      </c>
      <c r="C19" s="705" t="s"/>
      <c r="D19" s="682" t="s">
        <v>89</v>
      </c>
      <c r="E19" s="691" t="s">
        <v>90</v>
      </c>
      <c r="F19" s="706" t="s">
        <v>24</v>
      </c>
      <c r="G19" s="691" t="s">
        <v>90</v>
      </c>
      <c r="H19" s="706" t="s">
        <v>24</v>
      </c>
      <c r="I19" s="691" t="s">
        <v>90</v>
      </c>
      <c r="J19" s="685" t="s"/>
      <c r="K19" s="706">
        <v>8</v>
      </c>
      <c r="L19" s="706">
        <v>202</v>
      </c>
      <c r="M19" s="691">
        <v>3</v>
      </c>
      <c r="N19" s="691">
        <v>4</v>
      </c>
      <c r="O19" s="691">
        <v>4</v>
      </c>
      <c r="P19" s="691">
        <v>5</v>
      </c>
      <c r="Q19" s="682" t="s">
        <v>91</v>
      </c>
      <c r="R19" s="682" t="s">
        <v>92</v>
      </c>
      <c r="S19" s="682" t="s">
        <v>92</v>
      </c>
      <c r="T19" s="720" t="s">
        <v>93</v>
      </c>
      <c r="U19" s="720" t="s"/>
      <c r="V19" s="688">
        <v>224</v>
      </c>
      <c r="W19" s="708" t="s"/>
    </row>
    <row r="20" spans="1:23" s="949" customFormat="1" ht="39.75" customHeight="1">
      <c r="A20" s="680" t="s"/>
      <c r="B20" s="711" t="s"/>
      <c r="C20" s="712" t="s"/>
      <c r="D20" s="682" t="s">
        <v>94</v>
      </c>
      <c r="E20" s="680" t="s"/>
      <c r="F20" s="680" t="s"/>
      <c r="G20" s="680" t="s"/>
      <c r="H20" s="680" t="s"/>
      <c r="I20" s="680" t="s"/>
      <c r="J20" s="685" t="s"/>
      <c r="K20" s="680" t="s"/>
      <c r="L20" s="715" t="s"/>
      <c r="M20" s="680" t="s"/>
      <c r="N20" s="680" t="s"/>
      <c r="O20" s="680" t="s"/>
      <c r="P20" s="680" t="s"/>
      <c r="Q20" s="682" t="s">
        <v>95</v>
      </c>
      <c r="R20" s="682" t="s">
        <v>79</v>
      </c>
      <c r="S20" s="700" t="s">
        <v>79</v>
      </c>
      <c r="T20" s="720" t="s">
        <v>96</v>
      </c>
      <c r="U20" s="720" t="s"/>
      <c r="V20" s="688">
        <v>224</v>
      </c>
      <c r="W20" s="680" t="s"/>
    </row>
    <row r="21" spans="1:23" s="949" customFormat="1" ht="50" customHeight="1">
      <c r="A21" s="703">
        <v>7</v>
      </c>
      <c r="B21" s="704" t="s">
        <v>97</v>
      </c>
      <c r="C21" s="705" t="s"/>
      <c r="D21" s="682" t="s">
        <v>89</v>
      </c>
      <c r="E21" s="691" t="s">
        <v>98</v>
      </c>
      <c r="F21" s="706" t="s">
        <v>24</v>
      </c>
      <c r="G21" s="691" t="s">
        <v>98</v>
      </c>
      <c r="H21" s="706" t="s">
        <v>32</v>
      </c>
      <c r="I21" s="691" t="s">
        <v>99</v>
      </c>
      <c r="J21" s="685" t="s"/>
      <c r="K21" s="685">
        <v>10</v>
      </c>
      <c r="L21" s="691">
        <v>210</v>
      </c>
      <c r="M21" s="691">
        <v>3</v>
      </c>
      <c r="N21" s="691">
        <v>4</v>
      </c>
      <c r="O21" s="691">
        <v>4</v>
      </c>
      <c r="P21" s="691">
        <v>5</v>
      </c>
      <c r="Q21" s="685" t="s">
        <v>100</v>
      </c>
      <c r="R21" s="685" t="s">
        <v>101</v>
      </c>
      <c r="S21" s="685" t="s">
        <v>101</v>
      </c>
      <c r="T21" s="685" t="s">
        <v>102</v>
      </c>
      <c r="U21" s="685" t="s"/>
      <c r="V21" s="688">
        <v>204</v>
      </c>
      <c r="W21" s="708" t="s"/>
    </row>
    <row r="22" spans="1:23" s="949" customFormat="1" ht="50" hidden="1" customHeight="1">
      <c r="A22" s="680" t="s"/>
      <c r="B22" s="711" t="s"/>
      <c r="C22" s="712" t="s"/>
      <c r="D22" s="682" t="s">
        <v>103</v>
      </c>
      <c r="E22" s="680" t="s"/>
      <c r="F22" s="680" t="s"/>
      <c r="G22" s="680" t="s"/>
      <c r="H22" s="680" t="s"/>
      <c r="I22" s="680" t="s"/>
      <c r="J22" s="685" t="s"/>
      <c r="K22" s="685">
        <v>12</v>
      </c>
      <c r="L22" s="699" t="s"/>
      <c r="M22" s="680" t="s"/>
      <c r="N22" s="680" t="s"/>
      <c r="O22" s="680" t="s"/>
      <c r="P22" s="680" t="s"/>
      <c r="Q22" s="685" t="s">
        <v>104</v>
      </c>
      <c r="R22" s="685" t="s">
        <v>105</v>
      </c>
      <c r="S22" s="685" t="s">
        <v>105</v>
      </c>
      <c r="T22" s="685" t="s">
        <v>41</v>
      </c>
      <c r="U22" s="685" t="s"/>
      <c r="V22" s="688">
        <v>204</v>
      </c>
      <c r="W22" s="680" t="s"/>
    </row>
    <row r="23" spans="1:23" ht="50.25" customHeight="1">
      <c r="A23" s="703">
        <v>8</v>
      </c>
      <c r="B23" s="704" t="s">
        <v>106</v>
      </c>
      <c r="C23" s="705" t="s"/>
      <c r="D23" s="682" t="s">
        <v>107</v>
      </c>
      <c r="E23" s="706">
        <v>17</v>
      </c>
      <c r="F23" s="706" t="s">
        <v>83</v>
      </c>
      <c r="G23" s="706">
        <v>13</v>
      </c>
      <c r="H23" s="706" t="s">
        <v>108</v>
      </c>
      <c r="I23" s="706">
        <v>22</v>
      </c>
      <c r="J23" s="682" t="s"/>
      <c r="K23" s="691" t="s">
        <v>109</v>
      </c>
      <c r="L23" s="691" t="s"/>
      <c r="M23" s="691">
        <v>9</v>
      </c>
      <c r="N23" s="691">
        <v>11</v>
      </c>
      <c r="O23" s="691">
        <v>12</v>
      </c>
      <c r="P23" s="691">
        <v>14</v>
      </c>
      <c r="Q23" s="682" t="s">
        <v>95</v>
      </c>
      <c r="R23" s="682" t="s">
        <v>110</v>
      </c>
      <c r="S23" s="700" t="s">
        <v>39</v>
      </c>
      <c r="T23" s="685" t="s">
        <v>55</v>
      </c>
      <c r="U23" s="685" t="s"/>
      <c r="V23" s="688">
        <v>204</v>
      </c>
      <c r="W23" s="708" t="s"/>
    </row>
    <row r="24" spans="1:23" ht="42.75" customHeight="1">
      <c r="A24" s="679" t="s"/>
      <c r="B24" s="709" t="s"/>
      <c r="C24" s="710" t="s"/>
      <c r="D24" s="685" t="s">
        <v>111</v>
      </c>
      <c r="E24" s="679" t="s"/>
      <c r="F24" s="679" t="s"/>
      <c r="G24" s="679" t="s"/>
      <c r="H24" s="679" t="s"/>
      <c r="I24" s="679" t="s"/>
      <c r="J24" s="682" t="s"/>
      <c r="K24" s="679" t="s"/>
      <c r="L24" s="696" t="s"/>
      <c r="M24" s="679" t="s"/>
      <c r="N24" s="679" t="s"/>
      <c r="O24" s="679" t="s"/>
      <c r="P24" s="679" t="s"/>
      <c r="Q24" s="682" t="s">
        <v>76</v>
      </c>
      <c r="R24" s="682" t="s">
        <v>80</v>
      </c>
      <c r="S24" s="685" t="s">
        <v>112</v>
      </c>
      <c r="T24" s="685" t="s">
        <v>113</v>
      </c>
      <c r="U24" s="685" t="s"/>
      <c r="V24" s="688">
        <v>176</v>
      </c>
      <c r="W24" s="679" t="s"/>
    </row>
    <row r="25" spans="1:23" ht="42.75" customHeight="1">
      <c r="A25" s="680" t="s"/>
      <c r="B25" s="711" t="s"/>
      <c r="C25" s="712" t="s"/>
      <c r="D25" s="685" t="s">
        <v>114</v>
      </c>
      <c r="E25" s="680" t="s"/>
      <c r="F25" s="680" t="s"/>
      <c r="G25" s="680" t="s"/>
      <c r="H25" s="680" t="s"/>
      <c r="I25" s="680" t="s"/>
      <c r="J25" s="682" t="s"/>
      <c r="K25" s="680" t="s"/>
      <c r="L25" s="699">
        <v>555</v>
      </c>
      <c r="M25" s="680" t="s"/>
      <c r="N25" s="680" t="s"/>
      <c r="O25" s="680" t="s"/>
      <c r="P25" s="680" t="s"/>
      <c r="Q25" s="682" t="s">
        <v>115</v>
      </c>
      <c r="R25" s="682" t="s">
        <v>81</v>
      </c>
      <c r="S25" s="685" t="s">
        <v>41</v>
      </c>
      <c r="T25" s="685" t="s">
        <v>116</v>
      </c>
      <c r="U25" s="685" t="s"/>
      <c r="V25" s="688">
        <v>170</v>
      </c>
      <c r="W25" s="680" t="s"/>
    </row>
    <row r="26" spans="1:23" s="949" customFormat="1" ht="40.5" hidden="1" customHeight="1">
      <c r="A26" s="703">
        <v>9</v>
      </c>
      <c r="B26" s="704" t="s">
        <v>117</v>
      </c>
      <c r="C26" s="705" t="s"/>
      <c r="D26" s="682" t="s">
        <v>118</v>
      </c>
      <c r="E26" s="685" t="s">
        <v>119</v>
      </c>
      <c r="F26" s="706" t="s">
        <v>50</v>
      </c>
      <c r="G26" s="685" t="s">
        <v>120</v>
      </c>
      <c r="H26" s="706" t="s">
        <v>108</v>
      </c>
      <c r="I26" s="685" t="s">
        <v>121</v>
      </c>
      <c r="J26" s="685" t="s"/>
      <c r="K26" s="691" t="s">
        <v>122</v>
      </c>
      <c r="L26" s="691" t="s"/>
      <c r="M26" s="682">
        <v>11</v>
      </c>
      <c r="N26" s="682">
        <v>12</v>
      </c>
      <c r="O26" s="682">
        <v>14</v>
      </c>
      <c r="P26" s="682">
        <v>16</v>
      </c>
      <c r="Q26" s="682" t="s">
        <v>123</v>
      </c>
      <c r="R26" s="682" t="s">
        <v>124</v>
      </c>
      <c r="S26" s="682" t="s">
        <v>76</v>
      </c>
      <c r="T26" s="685" t="s">
        <v>125</v>
      </c>
      <c r="U26" s="685" t="s"/>
      <c r="V26" s="688">
        <v>238</v>
      </c>
      <c r="W26" s="708" t="s"/>
    </row>
    <row r="27" spans="1:23" s="949" customFormat="1" ht="45" hidden="1" customHeight="1">
      <c r="A27" s="679" t="s"/>
      <c r="B27" s="709" t="s"/>
      <c r="C27" s="710" t="s"/>
      <c r="D27" s="682" t="s">
        <v>126</v>
      </c>
      <c r="E27" s="685" t="s">
        <v>127</v>
      </c>
      <c r="F27" s="679" t="s"/>
      <c r="G27" s="685" t="s">
        <v>128</v>
      </c>
      <c r="H27" s="679" t="s"/>
      <c r="I27" s="685" t="s">
        <v>129</v>
      </c>
      <c r="J27" s="685" t="s"/>
      <c r="K27" s="680" t="s"/>
      <c r="L27" s="699" t="s"/>
      <c r="M27" s="682">
        <v>10</v>
      </c>
      <c r="N27" s="682">
        <v>12</v>
      </c>
      <c r="O27" s="682">
        <v>14</v>
      </c>
      <c r="P27" s="682">
        <v>16</v>
      </c>
      <c r="Q27" s="682" t="s">
        <v>130</v>
      </c>
      <c r="R27" s="682" t="s">
        <v>124</v>
      </c>
      <c r="S27" s="682" t="s">
        <v>76</v>
      </c>
      <c r="T27" s="685" t="s">
        <v>125</v>
      </c>
      <c r="U27" s="685" t="s"/>
      <c r="V27" s="688">
        <v>240</v>
      </c>
      <c r="W27" s="679" t="s"/>
    </row>
    <row r="28" spans="1:23" s="949" customFormat="1" ht="45.75" customHeight="1">
      <c r="A28" s="680" t="s"/>
      <c r="B28" s="711" t="s"/>
      <c r="C28" s="712" t="s"/>
      <c r="D28" s="682" t="s">
        <v>131</v>
      </c>
      <c r="E28" s="682">
        <v>14</v>
      </c>
      <c r="F28" s="680" t="s"/>
      <c r="G28" s="682">
        <v>11</v>
      </c>
      <c r="H28" s="680" t="s"/>
      <c r="I28" s="682">
        <v>18</v>
      </c>
      <c r="J28" s="682" t="s"/>
      <c r="K28" s="685" t="s">
        <v>132</v>
      </c>
      <c r="L28" s="685">
        <v>930</v>
      </c>
      <c r="M28" s="682">
        <v>11</v>
      </c>
      <c r="N28" s="682">
        <v>13</v>
      </c>
      <c r="O28" s="682">
        <v>15</v>
      </c>
      <c r="P28" s="682">
        <v>17</v>
      </c>
      <c r="Q28" s="685" t="s">
        <v>123</v>
      </c>
      <c r="R28" s="685" t="s">
        <v>133</v>
      </c>
      <c r="S28" s="714" t="s">
        <v>134</v>
      </c>
      <c r="T28" s="685" t="s">
        <v>54</v>
      </c>
      <c r="U28" s="685" t="s"/>
      <c r="V28" s="688">
        <v>224</v>
      </c>
      <c r="W28" s="680" t="s"/>
    </row>
    <row r="29" spans="1:23" s="949" customFormat="1" ht="58.5" customHeight="1">
      <c r="A29" s="703">
        <v>10</v>
      </c>
      <c r="B29" s="704" t="s">
        <v>135</v>
      </c>
      <c r="C29" s="705" t="s"/>
      <c r="D29" s="682" t="s">
        <v>49</v>
      </c>
      <c r="E29" s="685">
        <v>18</v>
      </c>
      <c r="F29" s="691" t="s">
        <v>50</v>
      </c>
      <c r="G29" s="682">
        <v>14</v>
      </c>
      <c r="H29" s="706" t="s">
        <v>32</v>
      </c>
      <c r="I29" s="682">
        <v>23</v>
      </c>
      <c r="J29" s="682" t="s"/>
      <c r="K29" s="691" t="s">
        <v>136</v>
      </c>
      <c r="L29" s="691">
        <v>600</v>
      </c>
      <c r="M29" s="685">
        <v>9</v>
      </c>
      <c r="N29" s="685">
        <v>10</v>
      </c>
      <c r="O29" s="685">
        <v>12</v>
      </c>
      <c r="P29" s="685">
        <v>13</v>
      </c>
      <c r="Q29" s="685" t="s">
        <v>105</v>
      </c>
      <c r="R29" s="682" t="s">
        <v>53</v>
      </c>
      <c r="S29" s="685" t="s">
        <v>34</v>
      </c>
      <c r="T29" s="685" t="s">
        <v>42</v>
      </c>
      <c r="U29" s="685" t="s"/>
      <c r="V29" s="688">
        <v>198</v>
      </c>
      <c r="W29" s="708" t="s"/>
    </row>
    <row r="30" spans="1:23" s="949" customFormat="1" ht="57" customHeight="1">
      <c r="A30" s="680" t="s"/>
      <c r="B30" s="711" t="s"/>
      <c r="C30" s="712" t="s"/>
      <c r="D30" s="682" t="s">
        <v>137</v>
      </c>
      <c r="E30" s="685" t="s">
        <v>138</v>
      </c>
      <c r="F30" s="680" t="s"/>
      <c r="G30" s="685" t="s">
        <v>139</v>
      </c>
      <c r="H30" s="680" t="s"/>
      <c r="I30" s="685" t="s">
        <v>140</v>
      </c>
      <c r="J30" s="682" t="s"/>
      <c r="K30" s="680" t="s"/>
      <c r="L30" s="699" t="s"/>
      <c r="M30" s="685">
        <v>6</v>
      </c>
      <c r="N30" s="685">
        <v>7</v>
      </c>
      <c r="O30" s="685">
        <v>8</v>
      </c>
      <c r="P30" s="685">
        <v>9</v>
      </c>
      <c r="Q30" s="685" t="s">
        <v>141</v>
      </c>
      <c r="R30" s="682" t="s">
        <v>142</v>
      </c>
      <c r="S30" s="714" t="s">
        <v>134</v>
      </c>
      <c r="T30" s="685" t="s">
        <v>143</v>
      </c>
      <c r="U30" s="685" t="s"/>
      <c r="V30" s="688">
        <v>224</v>
      </c>
      <c r="W30" s="680" t="s"/>
    </row>
    <row r="31" spans="1:23" ht="33.75" customHeight="1">
      <c r="A31" s="703">
        <v>11</v>
      </c>
      <c r="B31" s="704" t="s">
        <v>144</v>
      </c>
      <c r="C31" s="705" t="s"/>
      <c r="D31" s="685" t="s">
        <v>49</v>
      </c>
      <c r="E31" s="706">
        <v>20</v>
      </c>
      <c r="F31" s="706" t="s">
        <v>83</v>
      </c>
      <c r="G31" s="706">
        <v>15</v>
      </c>
      <c r="H31" s="706" t="s">
        <v>108</v>
      </c>
      <c r="I31" s="706">
        <v>26</v>
      </c>
      <c r="J31" s="682" t="s"/>
      <c r="K31" s="685" t="s">
        <v>145</v>
      </c>
      <c r="L31" s="691">
        <v>600</v>
      </c>
      <c r="M31" s="691">
        <v>8</v>
      </c>
      <c r="N31" s="691">
        <v>9</v>
      </c>
      <c r="O31" s="691">
        <v>10</v>
      </c>
      <c r="P31" s="691">
        <v>12</v>
      </c>
      <c r="Q31" s="706" t="s">
        <v>95</v>
      </c>
      <c r="R31" s="706" t="s">
        <v>46</v>
      </c>
      <c r="S31" s="721" t="s">
        <v>134</v>
      </c>
      <c r="T31" s="706" t="s">
        <v>146</v>
      </c>
      <c r="U31" s="682" t="s"/>
      <c r="V31" s="707">
        <v>220</v>
      </c>
      <c r="W31" s="708" t="s"/>
    </row>
    <row r="32" spans="1:23" ht="33.75" customHeight="1">
      <c r="A32" s="680" t="s"/>
      <c r="B32" s="711" t="s"/>
      <c r="C32" s="712" t="s"/>
      <c r="D32" s="685" t="s">
        <v>56</v>
      </c>
      <c r="E32" s="680" t="s"/>
      <c r="F32" s="680" t="s"/>
      <c r="G32" s="680" t="s"/>
      <c r="H32" s="680" t="s"/>
      <c r="I32" s="680" t="s"/>
      <c r="J32" s="682" t="s"/>
      <c r="K32" s="685" t="s">
        <v>147</v>
      </c>
      <c r="L32" s="699">
        <v>600</v>
      </c>
      <c r="M32" s="680" t="s"/>
      <c r="N32" s="680" t="s"/>
      <c r="O32" s="680" t="s"/>
      <c r="P32" s="680" t="s"/>
      <c r="Q32" s="680" t="s"/>
      <c r="R32" s="680" t="s"/>
      <c r="S32" s="680" t="s"/>
      <c r="T32" s="680" t="s"/>
      <c r="U32" s="682" t="s"/>
      <c r="V32" s="680" t="s"/>
      <c r="W32" s="680" t="s"/>
    </row>
    <row r="33" spans="1:23" s="949" customFormat="1" ht="42.75" customHeight="1">
      <c r="A33" s="703">
        <v>12</v>
      </c>
      <c r="B33" s="704" t="s">
        <v>148</v>
      </c>
      <c r="C33" s="705" t="s"/>
      <c r="D33" s="682" t="s">
        <v>49</v>
      </c>
      <c r="E33" s="685">
        <v>24</v>
      </c>
      <c r="F33" s="691" t="s">
        <v>31</v>
      </c>
      <c r="G33" s="682">
        <v>22</v>
      </c>
      <c r="H33" s="706" t="s">
        <v>32</v>
      </c>
      <c r="I33" s="682">
        <v>30</v>
      </c>
      <c r="J33" s="682" t="s"/>
      <c r="K33" s="691" t="s">
        <v>149</v>
      </c>
      <c r="L33" s="691">
        <v>480</v>
      </c>
      <c r="M33" s="685">
        <v>7</v>
      </c>
      <c r="N33" s="685">
        <v>8</v>
      </c>
      <c r="O33" s="685">
        <v>9</v>
      </c>
      <c r="P33" s="685">
        <v>10</v>
      </c>
      <c r="Q33" s="685" t="s">
        <v>133</v>
      </c>
      <c r="R33" s="682" t="s">
        <v>134</v>
      </c>
      <c r="S33" s="685" t="s">
        <v>54</v>
      </c>
      <c r="T33" s="682" t="s">
        <v>150</v>
      </c>
      <c r="U33" s="682" t="s"/>
      <c r="V33" s="701">
        <v>184</v>
      </c>
      <c r="W33" s="722" t="s"/>
    </row>
    <row r="34" spans="1:23" s="949" customFormat="1" ht="42.75" customHeight="1">
      <c r="A34" s="680" t="s"/>
      <c r="B34" s="711" t="s"/>
      <c r="C34" s="712" t="s"/>
      <c r="D34" s="682" t="s">
        <v>126</v>
      </c>
      <c r="E34" s="685" t="s">
        <v>151</v>
      </c>
      <c r="F34" s="680" t="s"/>
      <c r="G34" s="685" t="s">
        <v>152</v>
      </c>
      <c r="H34" s="680" t="s"/>
      <c r="I34" s="685" t="s">
        <v>153</v>
      </c>
      <c r="J34" s="685" t="s"/>
      <c r="K34" s="680" t="s"/>
      <c r="L34" s="699">
        <v>480</v>
      </c>
      <c r="M34" s="685">
        <v>6</v>
      </c>
      <c r="N34" s="685">
        <v>7</v>
      </c>
      <c r="O34" s="685">
        <v>8</v>
      </c>
      <c r="P34" s="685">
        <v>10</v>
      </c>
      <c r="Q34" s="685" t="s">
        <v>141</v>
      </c>
      <c r="R34" s="682" t="s">
        <v>133</v>
      </c>
      <c r="S34" s="714" t="s">
        <v>134</v>
      </c>
      <c r="T34" s="682" t="s">
        <v>150</v>
      </c>
      <c r="U34" s="682" t="s"/>
      <c r="V34" s="701">
        <v>191</v>
      </c>
      <c r="W34" s="680" t="s"/>
    </row>
    <row r="35" spans="1:23" ht="75" customHeight="1">
      <c r="A35" s="681">
        <v>13</v>
      </c>
      <c r="B35" s="716" t="s">
        <v>154</v>
      </c>
      <c r="C35" s="717" t="s"/>
      <c r="D35" s="718" t="s"/>
      <c r="E35" s="682">
        <v>12</v>
      </c>
      <c r="F35" s="682" t="s">
        <v>50</v>
      </c>
      <c r="G35" s="682">
        <v>10</v>
      </c>
      <c r="H35" s="682" t="s">
        <v>32</v>
      </c>
      <c r="I35" s="682">
        <v>15</v>
      </c>
      <c r="J35" s="682" t="s"/>
      <c r="K35" s="685" t="s">
        <v>155</v>
      </c>
      <c r="L35" s="685">
        <v>1080</v>
      </c>
      <c r="M35" s="682">
        <v>13</v>
      </c>
      <c r="N35" s="682">
        <v>15</v>
      </c>
      <c r="O35" s="682">
        <v>17</v>
      </c>
      <c r="P35" s="682">
        <v>19</v>
      </c>
      <c r="Q35" s="713" t="s">
        <v>156</v>
      </c>
      <c r="R35" s="682" t="s">
        <v>46</v>
      </c>
      <c r="S35" s="700" t="s">
        <v>115</v>
      </c>
      <c r="T35" s="682" t="s">
        <v>81</v>
      </c>
      <c r="U35" s="682" t="s"/>
      <c r="V35" s="701">
        <v>216</v>
      </c>
      <c r="W35" s="719" t="s"/>
    </row>
    <row r="36" spans="1:23" ht="25" customHeight="1">
      <c r="A36" s="703">
        <v>14</v>
      </c>
      <c r="B36" s="704" t="s">
        <v>157</v>
      </c>
      <c r="C36" s="705" t="s"/>
      <c r="D36" s="682" t="s">
        <v>158</v>
      </c>
      <c r="E36" s="706">
        <v>29</v>
      </c>
      <c r="F36" s="706" t="s">
        <v>159</v>
      </c>
      <c r="G36" s="706">
        <v>25</v>
      </c>
      <c r="H36" s="706" t="s">
        <v>32</v>
      </c>
      <c r="I36" s="706">
        <v>36</v>
      </c>
      <c r="J36" s="682" t="s"/>
      <c r="K36" s="706" t="s">
        <v>160</v>
      </c>
      <c r="L36" s="706" t="s"/>
      <c r="M36" s="691">
        <v>6</v>
      </c>
      <c r="N36" s="691">
        <v>7</v>
      </c>
      <c r="O36" s="691">
        <v>7</v>
      </c>
      <c r="P36" s="691">
        <v>8</v>
      </c>
      <c r="Q36" s="685" t="s">
        <v>161</v>
      </c>
      <c r="R36" s="682" t="s">
        <v>53</v>
      </c>
      <c r="S36" s="682" t="s">
        <v>53</v>
      </c>
      <c r="T36" s="685" t="s">
        <v>162</v>
      </c>
      <c r="U36" s="685" t="s"/>
      <c r="V36" s="688">
        <v>203</v>
      </c>
      <c r="W36" s="708" t="s"/>
    </row>
    <row r="37" spans="1:23" ht="25" customHeight="1">
      <c r="A37" s="680" t="s"/>
      <c r="B37" s="711" t="s"/>
      <c r="C37" s="712" t="s"/>
      <c r="D37" s="682" t="s">
        <v>49</v>
      </c>
      <c r="E37" s="680" t="s"/>
      <c r="F37" s="680" t="s"/>
      <c r="G37" s="680" t="s"/>
      <c r="H37" s="680" t="s"/>
      <c r="I37" s="680" t="s"/>
      <c r="J37" s="682" t="s"/>
      <c r="K37" s="680" t="s"/>
      <c r="L37" s="706">
        <v>300</v>
      </c>
      <c r="M37" s="680" t="s"/>
      <c r="N37" s="680" t="s"/>
      <c r="O37" s="680" t="s"/>
      <c r="P37" s="680" t="s"/>
      <c r="Q37" s="682" t="s">
        <v>112</v>
      </c>
      <c r="R37" s="682" t="s">
        <v>93</v>
      </c>
      <c r="S37" s="685" t="s">
        <v>93</v>
      </c>
      <c r="T37" s="685" t="s">
        <v>163</v>
      </c>
      <c r="U37" s="685" t="s"/>
      <c r="V37" s="688">
        <v>174</v>
      </c>
      <c r="W37" s="680" t="s"/>
    </row>
    <row r="38" spans="1:23" ht="38.25" customHeight="1">
      <c r="A38" s="681">
        <v>15</v>
      </c>
      <c r="B38" s="716" t="s">
        <v>164</v>
      </c>
      <c r="C38" s="717" t="s"/>
      <c r="D38" s="718" t="s"/>
      <c r="E38" s="682">
        <v>15</v>
      </c>
      <c r="F38" s="682" t="s">
        <v>83</v>
      </c>
      <c r="G38" s="682">
        <v>11</v>
      </c>
      <c r="H38" s="682" t="s">
        <v>108</v>
      </c>
      <c r="I38" s="682">
        <v>20</v>
      </c>
      <c r="J38" s="682" t="s"/>
      <c r="K38" s="682" t="s">
        <v>165</v>
      </c>
      <c r="L38" s="682">
        <v>810</v>
      </c>
      <c r="M38" s="682">
        <v>10</v>
      </c>
      <c r="N38" s="682">
        <v>12</v>
      </c>
      <c r="O38" s="682">
        <v>14</v>
      </c>
      <c r="P38" s="682">
        <v>15</v>
      </c>
      <c r="Q38" s="682" t="s">
        <v>166</v>
      </c>
      <c r="R38" s="682" t="s">
        <v>110</v>
      </c>
      <c r="S38" s="700" t="s">
        <v>167</v>
      </c>
      <c r="T38" s="682" t="s">
        <v>168</v>
      </c>
      <c r="U38" s="682" t="s"/>
      <c r="V38" s="701">
        <v>210</v>
      </c>
      <c r="W38" s="719" t="s"/>
    </row>
    <row r="39" spans="1:23" ht="39.75" customHeight="1">
      <c r="A39" s="681">
        <v>16</v>
      </c>
      <c r="B39" s="716" t="s">
        <v>169</v>
      </c>
      <c r="C39" s="718" t="s"/>
      <c r="D39" s="682" t="s">
        <v>49</v>
      </c>
      <c r="E39" s="682">
        <v>21</v>
      </c>
      <c r="F39" s="682" t="s">
        <v>50</v>
      </c>
      <c r="G39" s="682">
        <v>18</v>
      </c>
      <c r="H39" s="682" t="s">
        <v>32</v>
      </c>
      <c r="I39" s="682">
        <v>26</v>
      </c>
      <c r="J39" s="682" t="s"/>
      <c r="K39" s="685" t="s">
        <v>170</v>
      </c>
      <c r="L39" s="685">
        <v>540</v>
      </c>
      <c r="M39" s="685">
        <v>8</v>
      </c>
      <c r="N39" s="685">
        <v>9</v>
      </c>
      <c r="O39" s="685">
        <v>10</v>
      </c>
      <c r="P39" s="685">
        <v>11</v>
      </c>
      <c r="Q39" s="682" t="s">
        <v>133</v>
      </c>
      <c r="R39" s="682" t="s">
        <v>171</v>
      </c>
      <c r="S39" s="700" t="s">
        <v>77</v>
      </c>
      <c r="T39" s="682" t="s">
        <v>146</v>
      </c>
      <c r="U39" s="682" t="s"/>
      <c r="V39" s="701">
        <v>210</v>
      </c>
      <c r="W39" s="723" t="s"/>
    </row>
    <row r="40" spans="1:23" ht="79.5" customHeight="1">
      <c r="A40" s="681">
        <v>17</v>
      </c>
      <c r="B40" s="682" t="s">
        <v>172</v>
      </c>
      <c r="C40" s="690" t="s"/>
      <c r="D40" s="690" t="s"/>
      <c r="E40" s="685">
        <v>16</v>
      </c>
      <c r="F40" s="685" t="s">
        <v>31</v>
      </c>
      <c r="G40" s="682">
        <v>14</v>
      </c>
      <c r="H40" s="682" t="s">
        <v>32</v>
      </c>
      <c r="I40" s="682">
        <v>20</v>
      </c>
      <c r="J40" s="682" t="s"/>
      <c r="K40" s="685" t="s">
        <v>173</v>
      </c>
      <c r="L40" s="685">
        <v>643</v>
      </c>
      <c r="M40" s="682">
        <v>10</v>
      </c>
      <c r="N40" s="682">
        <v>11</v>
      </c>
      <c r="O40" s="682">
        <v>13</v>
      </c>
      <c r="P40" s="682">
        <v>15</v>
      </c>
      <c r="Q40" s="685" t="s">
        <v>174</v>
      </c>
      <c r="R40" s="685" t="s">
        <v>175</v>
      </c>
      <c r="S40" s="685" t="s">
        <v>638</v>
      </c>
      <c r="T40" s="685" t="s">
        <v>176</v>
      </c>
      <c r="U40" s="685" t="s"/>
      <c r="V40" s="688">
        <v>208</v>
      </c>
      <c r="W40" s="719" t="s"/>
    </row>
    <row r="41" spans="1:23" ht="39.75" customHeight="1">
      <c r="A41" s="681">
        <v>18</v>
      </c>
      <c r="B41" s="682" t="s">
        <v>177</v>
      </c>
      <c r="C41" s="724" t="s"/>
      <c r="D41" s="682" t="s">
        <v>49</v>
      </c>
      <c r="E41" s="682">
        <v>16</v>
      </c>
      <c r="F41" s="682" t="s">
        <v>50</v>
      </c>
      <c r="G41" s="682">
        <v>13</v>
      </c>
      <c r="H41" s="682" t="s">
        <v>72</v>
      </c>
      <c r="I41" s="682">
        <v>20</v>
      </c>
      <c r="J41" s="682" t="s"/>
      <c r="K41" s="685" t="s">
        <v>178</v>
      </c>
      <c r="L41" s="685">
        <v>720</v>
      </c>
      <c r="M41" s="685">
        <v>10</v>
      </c>
      <c r="N41" s="685">
        <v>11</v>
      </c>
      <c r="O41" s="685">
        <v>13</v>
      </c>
      <c r="P41" s="685">
        <v>15</v>
      </c>
      <c r="Q41" s="682" t="s">
        <v>75</v>
      </c>
      <c r="R41" s="682" t="s">
        <v>179</v>
      </c>
      <c r="S41" s="700" t="s">
        <v>180</v>
      </c>
      <c r="T41" s="682" t="s">
        <v>35</v>
      </c>
      <c r="U41" s="682" t="s"/>
      <c r="V41" s="701">
        <v>208</v>
      </c>
      <c r="W41" s="719" t="s"/>
    </row>
    <row r="42" spans="1:23" ht="39.75" customHeight="1">
      <c r="A42" s="724" t="s"/>
      <c r="B42" s="724" t="s"/>
      <c r="C42" s="724" t="s"/>
      <c r="D42" s="682" t="s">
        <v>56</v>
      </c>
      <c r="E42" s="724" t="s"/>
      <c r="F42" s="724" t="s"/>
      <c r="G42" s="724" t="s"/>
      <c r="H42" s="724" t="s"/>
      <c r="I42" s="724" t="s"/>
      <c r="J42" s="682" t="s"/>
      <c r="K42" s="685" t="s">
        <v>181</v>
      </c>
      <c r="L42" s="685">
        <v>720</v>
      </c>
      <c r="M42" s="724" t="s"/>
      <c r="N42" s="724" t="s"/>
      <c r="O42" s="724" t="s"/>
      <c r="P42" s="724" t="s"/>
      <c r="Q42" s="724" t="s"/>
      <c r="R42" s="724" t="s"/>
      <c r="S42" s="724" t="s"/>
      <c r="T42" s="724" t="s"/>
      <c r="U42" s="682" t="s"/>
      <c r="V42" s="678" t="s"/>
      <c r="W42" s="724" t="s"/>
    </row>
    <row r="43" spans="1:23" s="949" customFormat="1" ht="36" customHeight="1">
      <c r="A43" s="681">
        <v>19</v>
      </c>
      <c r="B43" s="682" t="s">
        <v>182</v>
      </c>
      <c r="C43" s="678" t="s"/>
      <c r="D43" s="682" t="s">
        <v>183</v>
      </c>
      <c r="E43" s="682">
        <v>50</v>
      </c>
      <c r="F43" s="682" t="s">
        <v>31</v>
      </c>
      <c r="G43" s="682">
        <v>45</v>
      </c>
      <c r="H43" s="682" t="s">
        <v>184</v>
      </c>
      <c r="I43" s="685" t="s">
        <v>185</v>
      </c>
      <c r="J43" s="685" t="s"/>
      <c r="K43" s="685" t="s">
        <v>186</v>
      </c>
      <c r="L43" s="685">
        <v>168</v>
      </c>
      <c r="M43" s="682">
        <v>3</v>
      </c>
      <c r="N43" s="682">
        <v>4</v>
      </c>
      <c r="O43" s="682">
        <v>4</v>
      </c>
      <c r="P43" s="682">
        <v>5</v>
      </c>
      <c r="Q43" s="706" t="s">
        <v>52</v>
      </c>
      <c r="R43" s="706" t="s">
        <v>41</v>
      </c>
      <c r="S43" s="721" t="s">
        <v>41</v>
      </c>
      <c r="T43" s="706" t="s">
        <v>187</v>
      </c>
      <c r="U43" s="682" t="s"/>
      <c r="V43" s="701">
        <v>150</v>
      </c>
      <c r="W43" s="719" t="s"/>
    </row>
    <row r="44" spans="1:23" s="949" customFormat="1" ht="36" hidden="1" customHeight="1">
      <c r="A44" s="678" t="s"/>
      <c r="B44" s="678" t="s"/>
      <c r="C44" s="678" t="s"/>
      <c r="D44" s="682" t="s">
        <v>56</v>
      </c>
      <c r="E44" s="678" t="s"/>
      <c r="F44" s="678" t="s"/>
      <c r="G44" s="678" t="s"/>
      <c r="H44" s="678" t="s"/>
      <c r="I44" s="678" t="s"/>
      <c r="J44" s="685" t="s"/>
      <c r="K44" s="685" t="s">
        <v>188</v>
      </c>
      <c r="L44" s="685">
        <v>168</v>
      </c>
      <c r="M44" s="678" t="s"/>
      <c r="N44" s="678" t="s"/>
      <c r="O44" s="678" t="s"/>
      <c r="P44" s="678" t="s"/>
      <c r="Q44" s="680" t="s"/>
      <c r="R44" s="680" t="s"/>
      <c r="S44" s="680" t="s"/>
      <c r="T44" s="680" t="s"/>
      <c r="U44" s="682" t="s"/>
      <c r="V44" s="678" t="s"/>
      <c r="W44" s="678" t="s"/>
    </row>
    <row r="45" spans="1:23" s="949" customFormat="1" ht="42.75" customHeight="1">
      <c r="A45" s="681">
        <v>20</v>
      </c>
      <c r="B45" s="682" t="s">
        <v>189</v>
      </c>
      <c r="C45" s="690" t="s"/>
      <c r="D45" s="682" t="s">
        <v>49</v>
      </c>
      <c r="E45" s="682">
        <v>21</v>
      </c>
      <c r="F45" s="682" t="s">
        <v>83</v>
      </c>
      <c r="G45" s="682">
        <v>16</v>
      </c>
      <c r="H45" s="682" t="s">
        <v>190</v>
      </c>
      <c r="I45" s="682">
        <v>29</v>
      </c>
      <c r="J45" s="682" t="s"/>
      <c r="K45" s="685" t="s">
        <v>191</v>
      </c>
      <c r="L45" s="685">
        <v>462</v>
      </c>
      <c r="M45" s="682">
        <v>8</v>
      </c>
      <c r="N45" s="682">
        <v>9</v>
      </c>
      <c r="O45" s="682">
        <v>10</v>
      </c>
      <c r="P45" s="682">
        <v>11</v>
      </c>
      <c r="Q45" s="682" t="s">
        <v>115</v>
      </c>
      <c r="R45" s="682" t="s">
        <v>162</v>
      </c>
      <c r="S45" s="700" t="s">
        <v>35</v>
      </c>
      <c r="T45" s="682" t="s">
        <v>192</v>
      </c>
      <c r="U45" s="682" t="s">
        <v>193</v>
      </c>
      <c r="V45" s="701">
        <v>168</v>
      </c>
      <c r="W45" s="719" t="s"/>
    </row>
    <row r="46" spans="1:23" s="949" customFormat="1" ht="57.75" customHeight="1">
      <c r="A46" s="725" t="s"/>
      <c r="B46" s="690" t="s"/>
      <c r="C46" s="690" t="s"/>
      <c r="D46" s="682" t="s">
        <v>194</v>
      </c>
      <c r="E46" s="685" t="s">
        <v>639</v>
      </c>
      <c r="F46" s="724" t="s"/>
      <c r="G46" s="724" t="s"/>
      <c r="H46" s="724" t="s"/>
      <c r="I46" s="724" t="s"/>
      <c r="J46" s="682" t="s">
        <v>193</v>
      </c>
      <c r="K46" s="685" t="s">
        <v>195</v>
      </c>
      <c r="L46" s="682" t="s">
        <v>193</v>
      </c>
      <c r="M46" s="682" t="s">
        <v>193</v>
      </c>
      <c r="N46" s="682" t="s">
        <v>193</v>
      </c>
      <c r="O46" s="682" t="s">
        <v>193</v>
      </c>
      <c r="P46" s="682" t="s">
        <v>193</v>
      </c>
      <c r="Q46" s="682" t="s">
        <v>193</v>
      </c>
      <c r="R46" s="682" t="s">
        <v>193</v>
      </c>
      <c r="S46" s="682" t="s">
        <v>193</v>
      </c>
      <c r="T46" s="682" t="s">
        <v>193</v>
      </c>
      <c r="U46" s="682" t="s">
        <v>193</v>
      </c>
      <c r="V46" s="701" t="s">
        <v>193</v>
      </c>
      <c r="W46" s="702" t="s"/>
    </row>
    <row r="47" spans="1:23" ht="36.75" customHeight="1">
      <c r="A47" s="703">
        <v>21</v>
      </c>
      <c r="B47" s="704" t="s">
        <v>196</v>
      </c>
      <c r="C47" s="705" t="s"/>
      <c r="D47" s="682" t="s">
        <v>197</v>
      </c>
      <c r="E47" s="691" t="s">
        <v>198</v>
      </c>
      <c r="F47" s="691" t="s">
        <v>159</v>
      </c>
      <c r="G47" s="691" t="s">
        <v>199</v>
      </c>
      <c r="H47" s="706" t="s">
        <v>190</v>
      </c>
      <c r="I47" s="691" t="s">
        <v>200</v>
      </c>
      <c r="J47" s="691" t="s"/>
      <c r="K47" s="691" t="s">
        <v>201</v>
      </c>
      <c r="L47" s="691">
        <v>64</v>
      </c>
      <c r="M47" s="685">
        <v>3</v>
      </c>
      <c r="N47" s="685">
        <v>4</v>
      </c>
      <c r="O47" s="685">
        <v>4</v>
      </c>
      <c r="P47" s="685">
        <v>5</v>
      </c>
      <c r="Q47" s="685" t="s">
        <v>92</v>
      </c>
      <c r="R47" s="682" t="s">
        <v>202</v>
      </c>
      <c r="S47" s="700" t="s">
        <v>202</v>
      </c>
      <c r="T47" s="685" t="s">
        <v>203</v>
      </c>
      <c r="U47" s="691" t="s">
        <v>204</v>
      </c>
      <c r="V47" s="688">
        <v>173</v>
      </c>
      <c r="W47" s="722" t="s"/>
    </row>
    <row r="48" spans="1:23" ht="38.25" customHeight="1">
      <c r="A48" s="679" t="s"/>
      <c r="B48" s="709" t="s"/>
      <c r="C48" s="710" t="s"/>
      <c r="D48" s="682" t="s">
        <v>49</v>
      </c>
      <c r="E48" s="680" t="s"/>
      <c r="F48" s="680" t="s"/>
      <c r="G48" s="680" t="s"/>
      <c r="H48" s="680" t="s"/>
      <c r="I48" s="680" t="s"/>
      <c r="J48" s="679" t="s"/>
      <c r="K48" s="679" t="s"/>
      <c r="L48" s="696" t="s"/>
      <c r="M48" s="685">
        <v>3</v>
      </c>
      <c r="N48" s="685">
        <v>4</v>
      </c>
      <c r="O48" s="685">
        <v>4</v>
      </c>
      <c r="P48" s="685">
        <v>5</v>
      </c>
      <c r="Q48" s="685" t="s">
        <v>92</v>
      </c>
      <c r="R48" s="682" t="s">
        <v>202</v>
      </c>
      <c r="S48" s="685" t="s">
        <v>202</v>
      </c>
      <c r="T48" s="685" t="s">
        <v>203</v>
      </c>
      <c r="U48" s="679" t="s"/>
      <c r="V48" s="701">
        <v>153</v>
      </c>
      <c r="W48" s="679" t="s"/>
    </row>
    <row r="49" spans="1:23" ht="52.5" customHeight="1">
      <c r="A49" s="680" t="s"/>
      <c r="B49" s="711" t="s"/>
      <c r="C49" s="712" t="s"/>
      <c r="D49" s="682" t="s">
        <v>205</v>
      </c>
      <c r="E49" s="685" t="s">
        <v>206</v>
      </c>
      <c r="F49" s="685" t="s">
        <v>24</v>
      </c>
      <c r="G49" s="685" t="s">
        <v>206</v>
      </c>
      <c r="H49" s="682" t="s">
        <v>32</v>
      </c>
      <c r="I49" s="685" t="s">
        <v>207</v>
      </c>
      <c r="J49" s="680" t="s"/>
      <c r="K49" s="680" t="s"/>
      <c r="L49" s="699" t="s"/>
      <c r="M49" s="685">
        <v>3</v>
      </c>
      <c r="N49" s="685">
        <v>4</v>
      </c>
      <c r="O49" s="685">
        <v>4</v>
      </c>
      <c r="P49" s="685">
        <v>5</v>
      </c>
      <c r="Q49" s="685" t="s">
        <v>92</v>
      </c>
      <c r="R49" s="682" t="s">
        <v>202</v>
      </c>
      <c r="S49" s="685" t="s">
        <v>202</v>
      </c>
      <c r="T49" s="685" t="s">
        <v>203</v>
      </c>
      <c r="U49" s="680" t="s"/>
      <c r="V49" s="701">
        <v>168</v>
      </c>
      <c r="W49" s="680" t="s"/>
    </row>
    <row r="50" spans="1:23" ht="50.25" customHeight="1">
      <c r="A50" s="703">
        <v>22</v>
      </c>
      <c r="B50" s="726" t="s">
        <v>208</v>
      </c>
      <c r="C50" s="705" t="s"/>
      <c r="D50" s="682" t="s">
        <v>209</v>
      </c>
      <c r="E50" s="691">
        <v>60</v>
      </c>
      <c r="F50" s="706" t="s">
        <v>50</v>
      </c>
      <c r="G50" s="706">
        <v>48</v>
      </c>
      <c r="H50" s="706" t="s">
        <v>210</v>
      </c>
      <c r="I50" s="706">
        <v>90</v>
      </c>
      <c r="J50" s="682" t="s"/>
      <c r="K50" s="727" t="s">
        <v>211</v>
      </c>
      <c r="L50" s="727">
        <v>150</v>
      </c>
      <c r="M50" s="706">
        <v>3</v>
      </c>
      <c r="N50" s="706">
        <v>3</v>
      </c>
      <c r="O50" s="706">
        <v>4</v>
      </c>
      <c r="P50" s="706">
        <v>4</v>
      </c>
      <c r="Q50" s="685" t="s">
        <v>212</v>
      </c>
      <c r="R50" s="685" t="s">
        <v>212</v>
      </c>
      <c r="S50" s="685" t="s">
        <v>213</v>
      </c>
      <c r="T50" s="685" t="s">
        <v>213</v>
      </c>
      <c r="U50" s="685" t="s"/>
      <c r="V50" s="707">
        <v>120</v>
      </c>
      <c r="W50" s="708" t="s">
        <v>640</v>
      </c>
    </row>
    <row r="51" spans="1:23" ht="50.25" customHeight="1">
      <c r="A51" s="679" t="s"/>
      <c r="B51" s="709" t="s"/>
      <c r="C51" s="710" t="s"/>
      <c r="D51" s="685" t="s">
        <v>641</v>
      </c>
      <c r="E51" s="680" t="s"/>
      <c r="F51" s="679" t="s"/>
      <c r="G51" s="680" t="s"/>
      <c r="H51" s="679" t="s"/>
      <c r="I51" s="680" t="s"/>
      <c r="J51" s="682" t="s"/>
      <c r="K51" s="679" t="s"/>
      <c r="L51" s="728" t="s"/>
      <c r="M51" s="680" t="s"/>
      <c r="N51" s="680" t="s"/>
      <c r="O51" s="680" t="s"/>
      <c r="P51" s="680" t="s"/>
      <c r="Q51" s="685" t="s">
        <v>96</v>
      </c>
      <c r="R51" s="685" t="s">
        <v>96</v>
      </c>
      <c r="S51" s="685" t="s">
        <v>214</v>
      </c>
      <c r="T51" s="685" t="s">
        <v>214</v>
      </c>
      <c r="U51" s="685" t="s"/>
      <c r="V51" s="680" t="s"/>
      <c r="W51" s="679" t="s"/>
    </row>
    <row r="52" spans="1:23" ht="54.75" customHeight="1">
      <c r="A52" s="679" t="s"/>
      <c r="B52" s="709" t="s"/>
      <c r="C52" s="710" t="s"/>
      <c r="D52" s="685" t="s">
        <v>215</v>
      </c>
      <c r="E52" s="691" t="s">
        <v>216</v>
      </c>
      <c r="F52" s="679" t="s"/>
      <c r="G52" s="691" t="s">
        <v>217</v>
      </c>
      <c r="H52" s="679" t="s"/>
      <c r="I52" s="691" t="s">
        <v>218</v>
      </c>
      <c r="J52" s="685" t="s"/>
      <c r="K52" s="679" t="s"/>
      <c r="L52" s="728" t="s"/>
      <c r="M52" s="706">
        <v>2</v>
      </c>
      <c r="N52" s="706">
        <v>3</v>
      </c>
      <c r="O52" s="706">
        <v>3</v>
      </c>
      <c r="P52" s="706">
        <v>3</v>
      </c>
      <c r="Q52" s="682" t="s">
        <v>39</v>
      </c>
      <c r="R52" s="682" t="s">
        <v>212</v>
      </c>
      <c r="S52" s="682" t="s">
        <v>212</v>
      </c>
      <c r="T52" s="685" t="s">
        <v>212</v>
      </c>
      <c r="U52" s="685" t="s"/>
      <c r="V52" s="707">
        <v>150</v>
      </c>
      <c r="W52" s="679" t="s"/>
    </row>
    <row r="53" spans="1:23" ht="54.75" customHeight="1">
      <c r="A53" s="680" t="s"/>
      <c r="B53" s="711" t="s"/>
      <c r="C53" s="712" t="s"/>
      <c r="D53" s="685" t="s">
        <v>642</v>
      </c>
      <c r="E53" s="680" t="s"/>
      <c r="F53" s="680" t="s"/>
      <c r="G53" s="680" t="s"/>
      <c r="H53" s="680" t="s"/>
      <c r="I53" s="680" t="s"/>
      <c r="J53" s="685" t="s"/>
      <c r="K53" s="680" t="s"/>
      <c r="L53" s="729" t="s"/>
      <c r="M53" s="680" t="s"/>
      <c r="N53" s="680" t="s"/>
      <c r="O53" s="680" t="s"/>
      <c r="P53" s="680" t="s"/>
      <c r="Q53" s="682" t="s">
        <v>95</v>
      </c>
      <c r="R53" s="685" t="s">
        <v>96</v>
      </c>
      <c r="S53" s="714" t="s">
        <v>96</v>
      </c>
      <c r="T53" s="685" t="s">
        <v>96</v>
      </c>
      <c r="U53" s="685" t="s"/>
      <c r="V53" s="680" t="s"/>
      <c r="W53" s="680" t="s"/>
    </row>
    <row r="54" spans="1:23" s="949" customFormat="1" ht="44.25" customHeight="1">
      <c r="A54" s="703">
        <v>23</v>
      </c>
      <c r="B54" s="704" t="s">
        <v>219</v>
      </c>
      <c r="C54" s="705" t="s"/>
      <c r="D54" s="682" t="s">
        <v>220</v>
      </c>
      <c r="E54" s="706">
        <v>33</v>
      </c>
      <c r="F54" s="706" t="s">
        <v>83</v>
      </c>
      <c r="G54" s="706">
        <v>25</v>
      </c>
      <c r="H54" s="706" t="s">
        <v>221</v>
      </c>
      <c r="I54" s="706">
        <v>48</v>
      </c>
      <c r="J54" s="682" t="s"/>
      <c r="K54" s="691" t="s">
        <v>222</v>
      </c>
      <c r="L54" s="691">
        <v>246</v>
      </c>
      <c r="M54" s="706">
        <v>5</v>
      </c>
      <c r="N54" s="706">
        <v>6</v>
      </c>
      <c r="O54" s="706">
        <v>7</v>
      </c>
      <c r="P54" s="706">
        <v>7</v>
      </c>
      <c r="Q54" s="682" t="s">
        <v>112</v>
      </c>
      <c r="R54" s="682" t="s">
        <v>223</v>
      </c>
      <c r="S54" s="700" t="s">
        <v>224</v>
      </c>
      <c r="T54" s="682" t="s">
        <v>224</v>
      </c>
      <c r="U54" s="682" t="s"/>
      <c r="V54" s="701">
        <v>165</v>
      </c>
      <c r="W54" s="730" t="s"/>
    </row>
    <row r="55" spans="1:23" s="949" customFormat="1" ht="44.25" customHeight="1">
      <c r="A55" s="731" t="s"/>
      <c r="B55" s="732" t="s"/>
      <c r="C55" s="733" t="s"/>
      <c r="D55" s="685" t="s">
        <v>643</v>
      </c>
      <c r="E55" s="734" t="s"/>
      <c r="F55" s="735" t="s"/>
      <c r="G55" s="734" t="s"/>
      <c r="H55" s="735" t="s"/>
      <c r="I55" s="734" t="s"/>
      <c r="J55" s="682" t="s"/>
      <c r="K55" s="736" t="s"/>
      <c r="L55" s="696">
        <v>295</v>
      </c>
      <c r="M55" s="735" t="s"/>
      <c r="N55" s="734" t="s"/>
      <c r="O55" s="734" t="s"/>
      <c r="P55" s="735" t="s"/>
      <c r="Q55" s="682" t="s">
        <v>76</v>
      </c>
      <c r="R55" s="682" t="s">
        <v>168</v>
      </c>
      <c r="S55" s="682" t="s">
        <v>113</v>
      </c>
      <c r="T55" s="682" t="s">
        <v>113</v>
      </c>
      <c r="U55" s="682" t="s"/>
      <c r="V55" s="701">
        <v>165</v>
      </c>
      <c r="W55" s="737" t="s"/>
    </row>
    <row r="56" spans="1:23" s="949" customFormat="1" ht="38.5" hidden="1" customHeight="1">
      <c r="A56" s="680" t="s"/>
      <c r="B56" s="711" t="s"/>
      <c r="C56" s="712" t="s"/>
      <c r="D56" s="682" t="s">
        <v>137</v>
      </c>
      <c r="E56" s="680" t="s"/>
      <c r="F56" s="680" t="s"/>
      <c r="G56" s="680" t="s"/>
      <c r="H56" s="680" t="s"/>
      <c r="I56" s="680" t="s"/>
      <c r="J56" s="682" t="s"/>
      <c r="K56" s="680" t="s"/>
      <c r="L56" s="699" t="s"/>
      <c r="M56" s="680" t="s"/>
      <c r="N56" s="680" t="s"/>
      <c r="O56" s="680" t="s"/>
      <c r="P56" s="680" t="s"/>
      <c r="Q56" s="682" t="s">
        <v>134</v>
      </c>
      <c r="R56" s="682" t="s">
        <v>134</v>
      </c>
      <c r="S56" s="682" t="s">
        <v>225</v>
      </c>
      <c r="T56" s="682" t="s">
        <v>202</v>
      </c>
      <c r="U56" s="682" t="s"/>
      <c r="V56" s="701">
        <v>222</v>
      </c>
      <c r="W56" s="680" t="s"/>
    </row>
    <row r="57" spans="1:23" ht="57.75" customHeight="1">
      <c r="A57" s="681">
        <v>24</v>
      </c>
      <c r="B57" s="682" t="s">
        <v>596</v>
      </c>
      <c r="C57" s="724" t="s"/>
      <c r="D57" s="682" t="s">
        <v>89</v>
      </c>
      <c r="E57" s="685" t="s">
        <v>227</v>
      </c>
      <c r="F57" s="682" t="s">
        <v>24</v>
      </c>
      <c r="G57" s="685" t="s">
        <v>227</v>
      </c>
      <c r="H57" s="682" t="s">
        <v>24</v>
      </c>
      <c r="I57" s="685" t="s">
        <v>227</v>
      </c>
      <c r="J57" s="685" t="s"/>
      <c r="K57" s="685">
        <v>5</v>
      </c>
      <c r="L57" s="685">
        <v>79</v>
      </c>
      <c r="M57" s="685">
        <v>2</v>
      </c>
      <c r="N57" s="685">
        <v>2</v>
      </c>
      <c r="O57" s="685">
        <v>3</v>
      </c>
      <c r="P57" s="685">
        <v>3</v>
      </c>
      <c r="Q57" s="682" t="s">
        <v>133</v>
      </c>
      <c r="R57" s="682" t="s">
        <v>133</v>
      </c>
      <c r="S57" s="738" t="s">
        <v>228</v>
      </c>
      <c r="T57" s="720" t="s">
        <v>228</v>
      </c>
      <c r="U57" s="720" t="s"/>
      <c r="V57" s="701">
        <v>190</v>
      </c>
      <c r="W57" s="719" t="s"/>
    </row>
    <row r="58" spans="1:23" s="949" customFormat="1" ht="42" customHeight="1">
      <c r="A58" s="703">
        <v>25</v>
      </c>
      <c r="B58" s="726" t="s">
        <v>229</v>
      </c>
      <c r="C58" s="705" t="s"/>
      <c r="D58" s="682" t="s">
        <v>230</v>
      </c>
      <c r="E58" s="691" t="s">
        <v>231</v>
      </c>
      <c r="F58" s="691" t="s">
        <v>31</v>
      </c>
      <c r="G58" s="691" t="s">
        <v>231</v>
      </c>
      <c r="H58" s="706" t="s">
        <v>210</v>
      </c>
      <c r="I58" s="691" t="s">
        <v>232</v>
      </c>
      <c r="J58" s="685" t="s"/>
      <c r="K58" s="727" t="s">
        <v>233</v>
      </c>
      <c r="L58" s="727">
        <v>90</v>
      </c>
      <c r="M58" s="691">
        <v>3</v>
      </c>
      <c r="N58" s="691">
        <v>3</v>
      </c>
      <c r="O58" s="691">
        <v>4</v>
      </c>
      <c r="P58" s="691">
        <v>4</v>
      </c>
      <c r="Q58" s="694" t="s">
        <v>234</v>
      </c>
      <c r="R58" s="694" t="s">
        <v>234</v>
      </c>
      <c r="S58" s="694" t="s">
        <v>235</v>
      </c>
      <c r="T58" s="694" t="s">
        <v>235</v>
      </c>
      <c r="U58" s="682" t="s"/>
      <c r="V58" s="701">
        <v>132</v>
      </c>
      <c r="W58" s="719" t="s"/>
    </row>
    <row r="59" spans="1:23" s="949" customFormat="1" ht="42" customHeight="1">
      <c r="A59" s="679" t="s"/>
      <c r="B59" s="709" t="s"/>
      <c r="C59" s="710" t="s"/>
      <c r="D59" s="685" t="s">
        <v>644</v>
      </c>
      <c r="E59" s="679" t="s"/>
      <c r="F59" s="679" t="s"/>
      <c r="G59" s="679" t="s"/>
      <c r="H59" s="679" t="s"/>
      <c r="I59" s="679" t="s"/>
      <c r="J59" s="685" t="s"/>
      <c r="K59" s="679" t="s"/>
      <c r="L59" s="728">
        <v>108</v>
      </c>
      <c r="M59" s="679" t="s"/>
      <c r="N59" s="679" t="s"/>
      <c r="O59" s="679" t="s"/>
      <c r="P59" s="679" t="s"/>
      <c r="Q59" s="694" t="s">
        <v>236</v>
      </c>
      <c r="R59" s="694" t="s">
        <v>236</v>
      </c>
      <c r="S59" s="694" t="s">
        <v>237</v>
      </c>
      <c r="T59" s="694" t="s">
        <v>237</v>
      </c>
      <c r="U59" s="682" t="s"/>
      <c r="V59" s="701">
        <v>132</v>
      </c>
      <c r="W59" s="719" t="s"/>
    </row>
    <row r="60" spans="1:23" s="949" customFormat="1" ht="45" customHeight="1">
      <c r="A60" s="679" t="s"/>
      <c r="B60" s="709" t="s"/>
      <c r="C60" s="710" t="s"/>
      <c r="D60" s="682" t="s">
        <v>238</v>
      </c>
      <c r="E60" s="679" t="s"/>
      <c r="F60" s="679" t="s"/>
      <c r="G60" s="679" t="s"/>
      <c r="H60" s="679" t="s"/>
      <c r="I60" s="679" t="s"/>
      <c r="J60" s="685" t="s"/>
      <c r="K60" s="679" t="s"/>
      <c r="L60" s="728" t="s"/>
      <c r="M60" s="679" t="s"/>
      <c r="N60" s="679" t="s"/>
      <c r="O60" s="679" t="s"/>
      <c r="P60" s="679" t="s"/>
      <c r="Q60" s="682" t="s">
        <v>55</v>
      </c>
      <c r="R60" s="682" t="s">
        <v>55</v>
      </c>
      <c r="S60" s="682" t="s">
        <v>239</v>
      </c>
      <c r="T60" s="682" t="s">
        <v>239</v>
      </c>
      <c r="U60" s="682" t="s"/>
      <c r="V60" s="701">
        <v>132</v>
      </c>
      <c r="W60" s="724" t="s"/>
    </row>
    <row r="61" spans="1:23" s="949" customFormat="1" ht="45" customHeight="1">
      <c r="A61" s="679" t="s"/>
      <c r="B61" s="709" t="s"/>
      <c r="C61" s="710" t="s"/>
      <c r="D61" s="685" t="s">
        <v>645</v>
      </c>
      <c r="E61" s="679" t="s"/>
      <c r="F61" s="679" t="s"/>
      <c r="G61" s="679" t="s"/>
      <c r="H61" s="679" t="s"/>
      <c r="I61" s="679" t="s"/>
      <c r="J61" s="685" t="s"/>
      <c r="K61" s="680" t="s"/>
      <c r="L61" s="728" t="s"/>
      <c r="M61" s="679" t="s"/>
      <c r="N61" s="679" t="s"/>
      <c r="O61" s="679" t="s"/>
      <c r="P61" s="679" t="s"/>
      <c r="Q61" s="682" t="s">
        <v>40</v>
      </c>
      <c r="R61" s="682" t="s">
        <v>40</v>
      </c>
      <c r="S61" s="700" t="s">
        <v>163</v>
      </c>
      <c r="T61" s="739" t="s">
        <v>163</v>
      </c>
      <c r="U61" s="682" t="s"/>
      <c r="V61" s="707">
        <v>132</v>
      </c>
      <c r="W61" s="708" t="s"/>
    </row>
    <row r="62" spans="1:23" ht="71.5" customHeight="1">
      <c r="A62" s="703">
        <v>26</v>
      </c>
      <c r="B62" s="740" t="s">
        <v>240</v>
      </c>
      <c r="C62" s="705" t="s"/>
      <c r="D62" s="685" t="s">
        <v>241</v>
      </c>
      <c r="E62" s="727" t="s">
        <v>242</v>
      </c>
      <c r="F62" s="691" t="s">
        <v>31</v>
      </c>
      <c r="G62" s="727" t="s">
        <v>243</v>
      </c>
      <c r="H62" s="706" t="s">
        <v>244</v>
      </c>
      <c r="I62" s="727" t="s">
        <v>245</v>
      </c>
      <c r="J62" s="685" t="s"/>
      <c r="K62" s="682" t="s">
        <v>246</v>
      </c>
      <c r="L62" s="706" t="s"/>
      <c r="M62" s="727" t="s">
        <v>247</v>
      </c>
      <c r="N62" s="691" t="s">
        <v>248</v>
      </c>
      <c r="O62" s="727" t="s">
        <v>249</v>
      </c>
      <c r="P62" s="727" t="s">
        <v>250</v>
      </c>
      <c r="Q62" s="694" t="s">
        <v>251</v>
      </c>
      <c r="R62" s="682" t="s">
        <v>252</v>
      </c>
      <c r="S62" s="694" t="s">
        <v>252</v>
      </c>
      <c r="T62" s="694" t="s">
        <v>253</v>
      </c>
      <c r="U62" s="685" t="s"/>
      <c r="V62" s="707" t="s">
        <v>254</v>
      </c>
      <c r="W62" s="708" t="s">
        <v>255</v>
      </c>
    </row>
    <row r="63" spans="1:23" ht="73" customHeight="1">
      <c r="A63" s="679" t="s"/>
      <c r="B63" s="709" t="s"/>
      <c r="C63" s="710" t="s"/>
      <c r="D63" s="685" t="s">
        <v>646</v>
      </c>
      <c r="E63" s="680" t="s"/>
      <c r="F63" s="679" t="s"/>
      <c r="G63" s="680" t="s"/>
      <c r="H63" s="679" t="s"/>
      <c r="I63" s="680" t="s"/>
      <c r="J63" s="685" t="s"/>
      <c r="K63" s="682" t="s">
        <v>256</v>
      </c>
      <c r="L63" s="715" t="s"/>
      <c r="M63" s="680" t="s"/>
      <c r="N63" s="680" t="s"/>
      <c r="O63" s="680" t="s"/>
      <c r="P63" s="680" t="s"/>
      <c r="Q63" s="694" t="s">
        <v>257</v>
      </c>
      <c r="R63" s="682" t="s">
        <v>258</v>
      </c>
      <c r="S63" s="694" t="s">
        <v>258</v>
      </c>
      <c r="T63" s="694" t="s">
        <v>259</v>
      </c>
      <c r="U63" s="682" t="s"/>
      <c r="V63" s="680" t="s"/>
      <c r="W63" s="679" t="s"/>
    </row>
    <row r="64" spans="1:23" ht="73" customHeight="1">
      <c r="A64" s="679" t="s"/>
      <c r="B64" s="709" t="s"/>
      <c r="C64" s="710" t="s"/>
      <c r="D64" s="682" t="s">
        <v>260</v>
      </c>
      <c r="E64" s="727" t="s">
        <v>261</v>
      </c>
      <c r="F64" s="679" t="s"/>
      <c r="G64" s="741" t="s">
        <v>262</v>
      </c>
      <c r="H64" s="679" t="s"/>
      <c r="I64" s="727" t="s">
        <v>263</v>
      </c>
      <c r="J64" s="685" t="s"/>
      <c r="K64" s="682" t="s">
        <v>246</v>
      </c>
      <c r="L64" s="706">
        <v>44</v>
      </c>
      <c r="M64" s="691">
        <v>2</v>
      </c>
      <c r="N64" s="691" t="s">
        <v>264</v>
      </c>
      <c r="O64" s="691" t="s">
        <v>264</v>
      </c>
      <c r="P64" s="691">
        <v>3</v>
      </c>
      <c r="Q64" s="685" t="s">
        <v>265</v>
      </c>
      <c r="R64" s="685" t="s">
        <v>265</v>
      </c>
      <c r="S64" s="685" t="s">
        <v>266</v>
      </c>
      <c r="T64" s="685" t="s">
        <v>266</v>
      </c>
      <c r="U64" s="682" t="s"/>
      <c r="V64" s="707" t="s">
        <v>267</v>
      </c>
      <c r="W64" s="679" t="s"/>
    </row>
    <row r="65" spans="1:23" ht="73" customHeight="1">
      <c r="A65" s="680" t="s"/>
      <c r="B65" s="711" t="s"/>
      <c r="C65" s="712" t="s"/>
      <c r="D65" s="685" t="s">
        <v>647</v>
      </c>
      <c r="E65" s="680" t="s"/>
      <c r="F65" s="680" t="s"/>
      <c r="G65" s="680" t="s"/>
      <c r="H65" s="680" t="s"/>
      <c r="I65" s="680" t="s"/>
      <c r="J65" s="685" t="s"/>
      <c r="K65" s="682" t="s">
        <v>256</v>
      </c>
      <c r="L65" s="715">
        <v>54</v>
      </c>
      <c r="M65" s="680" t="s"/>
      <c r="N65" s="680" t="s"/>
      <c r="O65" s="680" t="s"/>
      <c r="P65" s="680" t="s"/>
      <c r="Q65" s="682" t="s">
        <v>268</v>
      </c>
      <c r="R65" s="682" t="s">
        <v>268</v>
      </c>
      <c r="S65" s="682" t="s">
        <v>269</v>
      </c>
      <c r="T65" s="682" t="s">
        <v>269</v>
      </c>
      <c r="U65" s="682" t="s"/>
      <c r="V65" s="680" t="s"/>
      <c r="W65" s="680" t="s"/>
    </row>
    <row r="66" spans="1:23" s="949" customFormat="1" ht="49.5" customHeight="1">
      <c r="A66" s="703">
        <v>27</v>
      </c>
      <c r="B66" s="704" t="s">
        <v>270</v>
      </c>
      <c r="C66" s="705" t="s"/>
      <c r="D66" s="682" t="s">
        <v>49</v>
      </c>
      <c r="E66" s="706">
        <v>60</v>
      </c>
      <c r="F66" s="691" t="s">
        <v>50</v>
      </c>
      <c r="G66" s="706">
        <v>48</v>
      </c>
      <c r="H66" s="706" t="s">
        <v>271</v>
      </c>
      <c r="I66" s="691" t="s">
        <v>272</v>
      </c>
      <c r="J66" s="685" t="s"/>
      <c r="K66" s="685" t="s">
        <v>273</v>
      </c>
      <c r="L66" s="691">
        <v>78</v>
      </c>
      <c r="M66" s="691">
        <v>3</v>
      </c>
      <c r="N66" s="691">
        <v>3</v>
      </c>
      <c r="O66" s="691">
        <v>4</v>
      </c>
      <c r="P66" s="691">
        <v>4</v>
      </c>
      <c r="Q66" s="682" t="s">
        <v>274</v>
      </c>
      <c r="R66" s="682" t="s">
        <v>274</v>
      </c>
      <c r="S66" s="682" t="s">
        <v>275</v>
      </c>
      <c r="T66" s="682" t="s">
        <v>275</v>
      </c>
      <c r="U66" s="682" t="s"/>
      <c r="V66" s="707">
        <v>120</v>
      </c>
      <c r="W66" s="708" t="s"/>
    </row>
    <row r="67" spans="1:23" s="949" customFormat="1" ht="49.5" customHeight="1">
      <c r="A67" s="679" t="s"/>
      <c r="B67" s="709" t="s"/>
      <c r="C67" s="710" t="s"/>
      <c r="D67" s="685" t="s">
        <v>648</v>
      </c>
      <c r="E67" s="679" t="s"/>
      <c r="F67" s="679" t="s"/>
      <c r="G67" s="679" t="s"/>
      <c r="H67" s="679" t="s"/>
      <c r="I67" s="679" t="s"/>
      <c r="J67" s="685" t="s"/>
      <c r="K67" s="685" t="s">
        <v>276</v>
      </c>
      <c r="L67" s="696">
        <v>94</v>
      </c>
      <c r="M67" s="679" t="s"/>
      <c r="N67" s="679" t="s"/>
      <c r="O67" s="679" t="s"/>
      <c r="P67" s="679" t="s"/>
      <c r="Q67" s="682" t="s">
        <v>192</v>
      </c>
      <c r="R67" s="682" t="s">
        <v>192</v>
      </c>
      <c r="S67" s="700" t="s">
        <v>277</v>
      </c>
      <c r="T67" s="682" t="s">
        <v>277</v>
      </c>
      <c r="U67" s="682" t="s"/>
      <c r="V67" s="679" t="s"/>
      <c r="W67" s="679" t="s"/>
    </row>
    <row r="68" spans="1:23" s="949" customFormat="1" ht="49.5" hidden="1" customHeight="1">
      <c r="A68" s="680" t="s"/>
      <c r="B68" s="711" t="s"/>
      <c r="C68" s="712" t="s"/>
      <c r="D68" s="682" t="s">
        <v>56</v>
      </c>
      <c r="E68" s="680" t="s"/>
      <c r="F68" s="680" t="s"/>
      <c r="G68" s="680" t="s"/>
      <c r="H68" s="680" t="s"/>
      <c r="I68" s="680" t="s"/>
      <c r="J68" s="685" t="s"/>
      <c r="K68" s="685" t="s">
        <v>278</v>
      </c>
      <c r="L68" s="699" t="s"/>
      <c r="M68" s="680" t="s"/>
      <c r="N68" s="680" t="s"/>
      <c r="O68" s="680" t="s"/>
      <c r="P68" s="680" t="s"/>
      <c r="Q68" s="742" t="s"/>
      <c r="R68" s="742" t="s"/>
      <c r="S68" s="742" t="s"/>
      <c r="T68" s="742" t="s"/>
      <c r="U68" s="682" t="s"/>
      <c r="V68" s="680" t="s"/>
      <c r="W68" s="680" t="s"/>
    </row>
    <row r="69" spans="1:23" ht="57" customHeight="1">
      <c r="A69" s="681">
        <v>28</v>
      </c>
      <c r="B69" s="682" t="s">
        <v>279</v>
      </c>
      <c r="C69" s="724" t="s"/>
      <c r="D69" s="682" t="s">
        <v>89</v>
      </c>
      <c r="E69" s="685" t="s">
        <v>280</v>
      </c>
      <c r="F69" s="682" t="s">
        <v>24</v>
      </c>
      <c r="G69" s="685" t="s">
        <v>280</v>
      </c>
      <c r="H69" s="682" t="s">
        <v>24</v>
      </c>
      <c r="I69" s="685" t="s">
        <v>280</v>
      </c>
      <c r="J69" s="685" t="s"/>
      <c r="K69" s="685">
        <v>5</v>
      </c>
      <c r="L69" s="685">
        <v>51</v>
      </c>
      <c r="M69" s="685">
        <v>2</v>
      </c>
      <c r="N69" s="685">
        <v>2</v>
      </c>
      <c r="O69" s="685">
        <v>3</v>
      </c>
      <c r="P69" s="685">
        <v>3</v>
      </c>
      <c r="Q69" s="682" t="s">
        <v>281</v>
      </c>
      <c r="R69" s="682" t="s">
        <v>281</v>
      </c>
      <c r="S69" s="738" t="s">
        <v>282</v>
      </c>
      <c r="T69" s="720" t="s">
        <v>282</v>
      </c>
      <c r="U69" s="720" t="s"/>
      <c r="V69" s="701">
        <v>99</v>
      </c>
      <c r="W69" s="719" t="s"/>
    </row>
    <row r="70" spans="1:23" ht="50" hidden="1" customHeight="1">
      <c r="A70" s="724" t="s"/>
      <c r="B70" s="724" t="s"/>
      <c r="C70" s="724" t="s"/>
      <c r="D70" s="682" t="s">
        <v>283</v>
      </c>
      <c r="E70" s="685" t="s">
        <v>284</v>
      </c>
      <c r="F70" s="724" t="s"/>
      <c r="G70" s="685" t="s">
        <v>284</v>
      </c>
      <c r="H70" s="724" t="s"/>
      <c r="I70" s="685" t="s">
        <v>284</v>
      </c>
      <c r="J70" s="685" t="s"/>
      <c r="K70" s="724" t="s"/>
      <c r="L70" s="685" t="s"/>
      <c r="M70" s="685">
        <v>2</v>
      </c>
      <c r="N70" s="685">
        <v>2</v>
      </c>
      <c r="O70" s="685">
        <v>2</v>
      </c>
      <c r="P70" s="685">
        <v>2</v>
      </c>
      <c r="Q70" s="682" t="s">
        <v>281</v>
      </c>
      <c r="R70" s="682" t="s">
        <v>281</v>
      </c>
      <c r="S70" s="682" t="s">
        <v>281</v>
      </c>
      <c r="T70" s="682" t="s">
        <v>281</v>
      </c>
      <c r="U70" s="682" t="s"/>
      <c r="V70" s="701">
        <v>107</v>
      </c>
      <c r="W70" s="724" t="s"/>
    </row>
    <row r="71" spans="1:23" ht="50" customHeight="1">
      <c r="A71" s="681">
        <v>29</v>
      </c>
      <c r="B71" s="682" t="s">
        <v>285</v>
      </c>
      <c r="C71" s="690" t="s"/>
      <c r="D71" s="690" t="s"/>
      <c r="E71" s="682">
        <v>150</v>
      </c>
      <c r="F71" s="682" t="s">
        <v>50</v>
      </c>
      <c r="G71" s="682">
        <v>120</v>
      </c>
      <c r="H71" s="682" t="s">
        <v>190</v>
      </c>
      <c r="I71" s="685" t="s">
        <v>286</v>
      </c>
      <c r="J71" s="685" t="s"/>
      <c r="K71" s="685">
        <v>4</v>
      </c>
      <c r="L71" s="685">
        <v>25</v>
      </c>
      <c r="M71" s="682">
        <v>1</v>
      </c>
      <c r="N71" s="682">
        <v>2</v>
      </c>
      <c r="O71" s="682">
        <v>2</v>
      </c>
      <c r="P71" s="682">
        <v>2</v>
      </c>
      <c r="Q71" s="682" t="s">
        <v>287</v>
      </c>
      <c r="R71" s="682" t="s">
        <v>288</v>
      </c>
      <c r="S71" s="700" t="s">
        <v>288</v>
      </c>
      <c r="T71" s="682" t="s">
        <v>288</v>
      </c>
      <c r="U71" s="682" t="s"/>
      <c r="V71" s="701">
        <v>150</v>
      </c>
      <c r="W71" s="719" t="s"/>
    </row>
    <row r="72" spans="1:23" ht="40" customHeight="1">
      <c r="A72" s="681">
        <v>30</v>
      </c>
      <c r="B72" s="682" t="s">
        <v>289</v>
      </c>
      <c r="C72" s="683" t="s"/>
      <c r="D72" s="683" t="s"/>
      <c r="E72" s="685" t="s">
        <v>290</v>
      </c>
      <c r="F72" s="682" t="s">
        <v>24</v>
      </c>
      <c r="G72" s="685" t="s">
        <v>290</v>
      </c>
      <c r="H72" s="685" t="s">
        <v>210</v>
      </c>
      <c r="I72" s="685" t="s">
        <v>291</v>
      </c>
      <c r="J72" s="685" t="s"/>
      <c r="K72" s="685">
        <v>6</v>
      </c>
      <c r="L72" s="685" t="s"/>
      <c r="M72" s="685">
        <v>2</v>
      </c>
      <c r="N72" s="685">
        <v>2</v>
      </c>
      <c r="O72" s="685">
        <v>3</v>
      </c>
      <c r="P72" s="685">
        <v>3</v>
      </c>
      <c r="Q72" s="682" t="s">
        <v>292</v>
      </c>
      <c r="R72" s="682" t="s">
        <v>292</v>
      </c>
      <c r="S72" s="685" t="s">
        <v>293</v>
      </c>
      <c r="T72" s="685" t="s">
        <v>293</v>
      </c>
      <c r="U72" s="685" t="s"/>
      <c r="V72" s="701">
        <v>50</v>
      </c>
      <c r="W72" s="719" t="s"/>
    </row>
    <row r="73" spans="1:23" ht="48.5" customHeight="1">
      <c r="A73" s="681">
        <v>31</v>
      </c>
      <c r="B73" s="682" t="s">
        <v>294</v>
      </c>
      <c r="C73" s="678" t="s"/>
      <c r="D73" s="682" t="s">
        <v>295</v>
      </c>
      <c r="E73" s="685">
        <v>88</v>
      </c>
      <c r="F73" s="685" t="s">
        <v>31</v>
      </c>
      <c r="G73" s="682">
        <v>79</v>
      </c>
      <c r="H73" s="682" t="s">
        <v>244</v>
      </c>
      <c r="I73" s="685">
        <v>158</v>
      </c>
      <c r="J73" s="685" t="s"/>
      <c r="K73" s="685" t="s">
        <v>256</v>
      </c>
      <c r="L73" s="691">
        <v>31</v>
      </c>
      <c r="M73" s="691">
        <v>2</v>
      </c>
      <c r="N73" s="691">
        <v>2</v>
      </c>
      <c r="O73" s="691">
        <v>3</v>
      </c>
      <c r="P73" s="691">
        <v>3</v>
      </c>
      <c r="Q73" s="685" t="s">
        <v>296</v>
      </c>
      <c r="R73" s="685" t="s">
        <v>296</v>
      </c>
      <c r="S73" s="682" t="s">
        <v>297</v>
      </c>
      <c r="T73" s="682" t="s">
        <v>297</v>
      </c>
      <c r="U73" s="682" t="s"/>
      <c r="V73" s="707">
        <v>88</v>
      </c>
      <c r="W73" s="708" t="s"/>
    </row>
    <row r="74" spans="1:23" ht="46.5" customHeight="1">
      <c r="A74" s="678" t="s"/>
      <c r="B74" s="678" t="s"/>
      <c r="C74" s="678" t="s"/>
      <c r="D74" s="685" t="s">
        <v>649</v>
      </c>
      <c r="E74" s="678" t="s"/>
      <c r="F74" s="678" t="s"/>
      <c r="G74" s="678" t="s"/>
      <c r="H74" s="678" t="s"/>
      <c r="I74" s="678" t="s"/>
      <c r="J74" s="742" t="s"/>
      <c r="K74" s="682" t="s">
        <v>298</v>
      </c>
      <c r="L74" s="715">
        <v>39</v>
      </c>
      <c r="M74" s="680" t="s"/>
      <c r="N74" s="680" t="s"/>
      <c r="O74" s="680" t="s"/>
      <c r="P74" s="680" t="s"/>
      <c r="Q74" s="682" t="s">
        <v>299</v>
      </c>
      <c r="R74" s="682" t="s">
        <v>299</v>
      </c>
      <c r="S74" s="700" t="s">
        <v>300</v>
      </c>
      <c r="T74" s="682" t="s">
        <v>300</v>
      </c>
      <c r="U74" s="685" t="s"/>
      <c r="V74" s="680" t="s"/>
      <c r="W74" s="679" t="s"/>
    </row>
    <row r="75" spans="1:23" ht="46.5" customHeight="1">
      <c r="A75" s="678" t="s"/>
      <c r="B75" s="678" t="s"/>
      <c r="C75" s="678" t="s"/>
      <c r="D75" s="682" t="s">
        <v>49</v>
      </c>
      <c r="E75" s="682">
        <v>70</v>
      </c>
      <c r="F75" s="678" t="s"/>
      <c r="G75" s="682">
        <v>63</v>
      </c>
      <c r="H75" s="678" t="s"/>
      <c r="I75" s="685">
        <v>126</v>
      </c>
      <c r="J75" s="742" t="s"/>
      <c r="K75" s="685" t="s">
        <v>256</v>
      </c>
      <c r="L75" s="691">
        <v>31</v>
      </c>
      <c r="M75" s="691">
        <v>3</v>
      </c>
      <c r="N75" s="691">
        <v>3</v>
      </c>
      <c r="O75" s="691">
        <v>3</v>
      </c>
      <c r="P75" s="691">
        <v>4</v>
      </c>
      <c r="Q75" s="682" t="s">
        <v>301</v>
      </c>
      <c r="R75" s="682" t="s">
        <v>301</v>
      </c>
      <c r="S75" s="682" t="s">
        <v>301</v>
      </c>
      <c r="T75" s="685" t="s">
        <v>302</v>
      </c>
      <c r="U75" s="685" t="s"/>
      <c r="V75" s="707">
        <v>70</v>
      </c>
      <c r="W75" s="679" t="s"/>
    </row>
    <row r="76" spans="1:23" ht="46.5" customHeight="1">
      <c r="A76" s="678" t="s"/>
      <c r="B76" s="678" t="s"/>
      <c r="C76" s="678" t="s"/>
      <c r="D76" s="685" t="s">
        <v>648</v>
      </c>
      <c r="E76" s="678" t="s"/>
      <c r="F76" s="678" t="s"/>
      <c r="G76" s="678" t="s"/>
      <c r="H76" s="678" t="s"/>
      <c r="I76" s="678" t="s"/>
      <c r="J76" s="742" t="s"/>
      <c r="K76" s="682" t="s">
        <v>298</v>
      </c>
      <c r="L76" s="715">
        <v>39</v>
      </c>
      <c r="M76" s="680" t="s"/>
      <c r="N76" s="680" t="s"/>
      <c r="O76" s="680" t="s"/>
      <c r="P76" s="680" t="s"/>
      <c r="Q76" s="682" t="s">
        <v>300</v>
      </c>
      <c r="R76" s="682" t="s">
        <v>300</v>
      </c>
      <c r="S76" s="682" t="s">
        <v>300</v>
      </c>
      <c r="T76" s="685" t="s">
        <v>303</v>
      </c>
      <c r="U76" s="685" t="s"/>
      <c r="V76" s="680" t="s"/>
      <c r="W76" s="680" t="s"/>
    </row>
  </sheetData>
  <mergeCells count="323">
    <mergeCell ref="A1:W1"/>
    <mergeCell ref="A2:W2"/>
    <mergeCell ref="A3:W3"/>
    <mergeCell ref="A4:H4"/>
    <mergeCell ref="I4:R4"/>
    <mergeCell ref="S4:W4"/>
    <mergeCell ref="A5:H5"/>
    <mergeCell ref="I5:R5"/>
    <mergeCell ref="S5:W5"/>
    <mergeCell ref="E6:I6"/>
    <mergeCell ref="M6:P6"/>
    <mergeCell ref="Q6:T6"/>
    <mergeCell ref="F7:G7"/>
    <mergeCell ref="H7:I7"/>
    <mergeCell ref="B9:D9"/>
    <mergeCell ref="B18:D18"/>
    <mergeCell ref="B35:D35"/>
    <mergeCell ref="B38:D38"/>
    <mergeCell ref="B39:C39"/>
    <mergeCell ref="B40:D40"/>
    <mergeCell ref="E46:I46"/>
    <mergeCell ref="B57:C57"/>
    <mergeCell ref="B71:D71"/>
    <mergeCell ref="B72:D72"/>
    <mergeCell ref="A6:A8"/>
    <mergeCell ref="A10:A12"/>
    <mergeCell ref="A13:A15"/>
    <mergeCell ref="A16:A17"/>
    <mergeCell ref="A19:A20"/>
    <mergeCell ref="A21:A22"/>
    <mergeCell ref="A23:A25"/>
    <mergeCell ref="A26:A28"/>
    <mergeCell ref="A29:A30"/>
    <mergeCell ref="A31:A32"/>
    <mergeCell ref="A33:A34"/>
    <mergeCell ref="A36:A37"/>
    <mergeCell ref="A41:A42"/>
    <mergeCell ref="A43:A44"/>
    <mergeCell ref="A45:A46"/>
    <mergeCell ref="A47:A49"/>
    <mergeCell ref="A50:A53"/>
    <mergeCell ref="A54:A56"/>
    <mergeCell ref="A58:A61"/>
    <mergeCell ref="A62:A65"/>
    <mergeCell ref="A66:A68"/>
    <mergeCell ref="A69:A70"/>
    <mergeCell ref="A73:A76"/>
    <mergeCell ref="E7:E8"/>
    <mergeCell ref="E10:E12"/>
    <mergeCell ref="E13:E14"/>
    <mergeCell ref="E19:E20"/>
    <mergeCell ref="E21:E22"/>
    <mergeCell ref="E23:E25"/>
    <mergeCell ref="E31:E32"/>
    <mergeCell ref="E36:E37"/>
    <mergeCell ref="E41:E42"/>
    <mergeCell ref="E43:E44"/>
    <mergeCell ref="E47:E48"/>
    <mergeCell ref="E50:E51"/>
    <mergeCell ref="E52:E53"/>
    <mergeCell ref="E54:E56"/>
    <mergeCell ref="E58:E61"/>
    <mergeCell ref="E62:E63"/>
    <mergeCell ref="E64:E65"/>
    <mergeCell ref="E66:E68"/>
    <mergeCell ref="E73:E74"/>
    <mergeCell ref="E75:E76"/>
    <mergeCell ref="F10:F12"/>
    <mergeCell ref="F13:F15"/>
    <mergeCell ref="F16:F17"/>
    <mergeCell ref="F19:F20"/>
    <mergeCell ref="F21:F22"/>
    <mergeCell ref="F23:F25"/>
    <mergeCell ref="F26:F28"/>
    <mergeCell ref="F29:F30"/>
    <mergeCell ref="F31:F32"/>
    <mergeCell ref="F33:F34"/>
    <mergeCell ref="F36:F37"/>
    <mergeCell ref="F41:F42"/>
    <mergeCell ref="F43:F44"/>
    <mergeCell ref="F47:F48"/>
    <mergeCell ref="F50:F53"/>
    <mergeCell ref="F54:F56"/>
    <mergeCell ref="F58:F61"/>
    <mergeCell ref="F62:F65"/>
    <mergeCell ref="F66:F68"/>
    <mergeCell ref="F69:F70"/>
    <mergeCell ref="F73:F76"/>
    <mergeCell ref="G10:G12"/>
    <mergeCell ref="G13:G14"/>
    <mergeCell ref="G19:G20"/>
    <mergeCell ref="G21:G22"/>
    <mergeCell ref="G23:G25"/>
    <mergeCell ref="G31:G32"/>
    <mergeCell ref="G36:G37"/>
    <mergeCell ref="G41:G42"/>
    <mergeCell ref="G43:G44"/>
    <mergeCell ref="G47:G48"/>
    <mergeCell ref="G50:G51"/>
    <mergeCell ref="G52:G53"/>
    <mergeCell ref="G54:G56"/>
    <mergeCell ref="G58:G61"/>
    <mergeCell ref="G62:G63"/>
    <mergeCell ref="G64:G65"/>
    <mergeCell ref="G66:G68"/>
    <mergeCell ref="G73:G74"/>
    <mergeCell ref="G75:G76"/>
    <mergeCell ref="H10:H12"/>
    <mergeCell ref="H13:H15"/>
    <mergeCell ref="H16:H17"/>
    <mergeCell ref="H19:H20"/>
    <mergeCell ref="H21:H22"/>
    <mergeCell ref="H23:H25"/>
    <mergeCell ref="H26:H28"/>
    <mergeCell ref="H29:H30"/>
    <mergeCell ref="H31:H32"/>
    <mergeCell ref="H33:H34"/>
    <mergeCell ref="H36:H37"/>
    <mergeCell ref="H41:H42"/>
    <mergeCell ref="H43:H44"/>
    <mergeCell ref="H47:H48"/>
    <mergeCell ref="H50:H53"/>
    <mergeCell ref="H54:H56"/>
    <mergeCell ref="H58:H61"/>
    <mergeCell ref="H62:H65"/>
    <mergeCell ref="H66:H68"/>
    <mergeCell ref="H69:H70"/>
    <mergeCell ref="H73:H76"/>
    <mergeCell ref="I10:I12"/>
    <mergeCell ref="I13:I14"/>
    <mergeCell ref="I19:I20"/>
    <mergeCell ref="I21:I22"/>
    <mergeCell ref="I23:I25"/>
    <mergeCell ref="I31:I32"/>
    <mergeCell ref="I36:I37"/>
    <mergeCell ref="I41:I42"/>
    <mergeCell ref="I43:I44"/>
    <mergeCell ref="I47:I48"/>
    <mergeCell ref="I50:I51"/>
    <mergeCell ref="I52:I53"/>
    <mergeCell ref="I54:I56"/>
    <mergeCell ref="I58:I61"/>
    <mergeCell ref="I62:I63"/>
    <mergeCell ref="I64:I65"/>
    <mergeCell ref="I66:I68"/>
    <mergeCell ref="I73:I74"/>
    <mergeCell ref="I75:I76"/>
    <mergeCell ref="J6:J8"/>
    <mergeCell ref="J47:J49"/>
    <mergeCell ref="K6:K8"/>
    <mergeCell ref="K10:K12"/>
    <mergeCell ref="K16:K17"/>
    <mergeCell ref="K19:K20"/>
    <mergeCell ref="K23:K25"/>
    <mergeCell ref="K26:K27"/>
    <mergeCell ref="K29:K30"/>
    <mergeCell ref="K33:K34"/>
    <mergeCell ref="K36:K37"/>
    <mergeCell ref="K47:K49"/>
    <mergeCell ref="K50:K53"/>
    <mergeCell ref="K54:K56"/>
    <mergeCell ref="K58:K61"/>
    <mergeCell ref="K69:K70"/>
    <mergeCell ref="L6:L8"/>
    <mergeCell ref="L10:L12"/>
    <mergeCell ref="L47:L49"/>
    <mergeCell ref="L50:L53"/>
    <mergeCell ref="M7:M8"/>
    <mergeCell ref="M10:M12"/>
    <mergeCell ref="M13:M14"/>
    <mergeCell ref="M19:M20"/>
    <mergeCell ref="M21:M22"/>
    <mergeCell ref="M23:M25"/>
    <mergeCell ref="M31:M32"/>
    <mergeCell ref="M36:M37"/>
    <mergeCell ref="M41:M42"/>
    <mergeCell ref="M43:M44"/>
    <mergeCell ref="M50:M51"/>
    <mergeCell ref="M52:M53"/>
    <mergeCell ref="M54:M56"/>
    <mergeCell ref="M58:M61"/>
    <mergeCell ref="M62:M63"/>
    <mergeCell ref="M64:M65"/>
    <mergeCell ref="M66:M68"/>
    <mergeCell ref="M73:M74"/>
    <mergeCell ref="M75:M76"/>
    <mergeCell ref="N7:N8"/>
    <mergeCell ref="N10:N12"/>
    <mergeCell ref="N13:N14"/>
    <mergeCell ref="N19:N20"/>
    <mergeCell ref="N21:N22"/>
    <mergeCell ref="N23:N25"/>
    <mergeCell ref="N31:N32"/>
    <mergeCell ref="N36:N37"/>
    <mergeCell ref="N41:N42"/>
    <mergeCell ref="N43:N44"/>
    <mergeCell ref="N50:N51"/>
    <mergeCell ref="N52:N53"/>
    <mergeCell ref="N54:N56"/>
    <mergeCell ref="N58:N61"/>
    <mergeCell ref="N62:N63"/>
    <mergeCell ref="N64:N65"/>
    <mergeCell ref="N66:N68"/>
    <mergeCell ref="N73:N74"/>
    <mergeCell ref="N75:N76"/>
    <mergeCell ref="O7:O8"/>
    <mergeCell ref="O10:O12"/>
    <mergeCell ref="O13:O14"/>
    <mergeCell ref="O19:O20"/>
    <mergeCell ref="O21:O22"/>
    <mergeCell ref="O23:O25"/>
    <mergeCell ref="O31:O32"/>
    <mergeCell ref="O36:O37"/>
    <mergeCell ref="O41:O42"/>
    <mergeCell ref="O43:O44"/>
    <mergeCell ref="O50:O51"/>
    <mergeCell ref="O52:O53"/>
    <mergeCell ref="O54:O56"/>
    <mergeCell ref="O58:O61"/>
    <mergeCell ref="O62:O63"/>
    <mergeCell ref="O64:O65"/>
    <mergeCell ref="O66:O68"/>
    <mergeCell ref="O73:O74"/>
    <mergeCell ref="O75:O76"/>
    <mergeCell ref="P7:P8"/>
    <mergeCell ref="P10:P12"/>
    <mergeCell ref="P13:P14"/>
    <mergeCell ref="P19:P20"/>
    <mergeCell ref="P21:P22"/>
    <mergeCell ref="P23:P25"/>
    <mergeCell ref="P31:P32"/>
    <mergeCell ref="P36:P37"/>
    <mergeCell ref="P41:P42"/>
    <mergeCell ref="P43:P44"/>
    <mergeCell ref="P50:P51"/>
    <mergeCell ref="P52:P53"/>
    <mergeCell ref="P54:P56"/>
    <mergeCell ref="P58:P61"/>
    <mergeCell ref="P62:P63"/>
    <mergeCell ref="P64:P65"/>
    <mergeCell ref="P66:P68"/>
    <mergeCell ref="P73:P74"/>
    <mergeCell ref="P75:P76"/>
    <mergeCell ref="Q7:Q8"/>
    <mergeCell ref="Q13:Q14"/>
    <mergeCell ref="Q31:Q32"/>
    <mergeCell ref="Q41:Q42"/>
    <mergeCell ref="Q43:Q44"/>
    <mergeCell ref="R7:R8"/>
    <mergeCell ref="R13:R14"/>
    <mergeCell ref="R31:R32"/>
    <mergeCell ref="R41:R42"/>
    <mergeCell ref="R43:R44"/>
    <mergeCell ref="S7:S8"/>
    <mergeCell ref="S13:S14"/>
    <mergeCell ref="S31:S32"/>
    <mergeCell ref="S41:S42"/>
    <mergeCell ref="S43:S44"/>
    <mergeCell ref="T7:T8"/>
    <mergeCell ref="T13:T14"/>
    <mergeCell ref="T31:T32"/>
    <mergeCell ref="T41:T42"/>
    <mergeCell ref="T43:T44"/>
    <mergeCell ref="U6:U8"/>
    <mergeCell ref="U47:U49"/>
    <mergeCell ref="V6:V8"/>
    <mergeCell ref="V13:V14"/>
    <mergeCell ref="V31:V32"/>
    <mergeCell ref="V41:V42"/>
    <mergeCell ref="V43:V44"/>
    <mergeCell ref="V50:V51"/>
    <mergeCell ref="V52:V53"/>
    <mergeCell ref="V62:V63"/>
    <mergeCell ref="V64:V65"/>
    <mergeCell ref="V66:V68"/>
    <mergeCell ref="V73:V74"/>
    <mergeCell ref="V75:V76"/>
    <mergeCell ref="W6:W8"/>
    <mergeCell ref="W10:W12"/>
    <mergeCell ref="W13:W15"/>
    <mergeCell ref="W16:W17"/>
    <mergeCell ref="W19:W20"/>
    <mergeCell ref="W21:W22"/>
    <mergeCell ref="W23:W25"/>
    <mergeCell ref="W26:W28"/>
    <mergeCell ref="W29:W30"/>
    <mergeCell ref="W31:W32"/>
    <mergeCell ref="W33:W34"/>
    <mergeCell ref="W36:W37"/>
    <mergeCell ref="W41:W42"/>
    <mergeCell ref="W43:W44"/>
    <mergeCell ref="W45:W46"/>
    <mergeCell ref="W47:W49"/>
    <mergeCell ref="W50:W53"/>
    <mergeCell ref="W54:W56"/>
    <mergeCell ref="W58:W60"/>
    <mergeCell ref="W62:W65"/>
    <mergeCell ref="W66:W68"/>
    <mergeCell ref="W69:W70"/>
    <mergeCell ref="W73:W76"/>
    <mergeCell ref="B6:D8"/>
    <mergeCell ref="B43:C44"/>
    <mergeCell ref="B10:C12"/>
    <mergeCell ref="B41:C42"/>
    <mergeCell ref="B69:C70"/>
    <mergeCell ref="B45:C46"/>
    <mergeCell ref="B73:C76"/>
    <mergeCell ref="B16:C17"/>
    <mergeCell ref="B21:C22"/>
    <mergeCell ref="B13:C15"/>
    <mergeCell ref="B29:C30"/>
    <mergeCell ref="B19:C20"/>
    <mergeCell ref="B23:C25"/>
    <mergeCell ref="B26:C28"/>
    <mergeCell ref="B31:C32"/>
    <mergeCell ref="B33:C34"/>
    <mergeCell ref="B36:C37"/>
    <mergeCell ref="B50:C53"/>
    <mergeCell ref="B47:C49"/>
    <mergeCell ref="B66:C68"/>
    <mergeCell ref="B62:C65"/>
    <mergeCell ref="B54:C56"/>
    <mergeCell ref="B58:C61"/>
  </mergeCells>
  <hyperlinks>
    <hyperlink ref="A3" r:id="rId0" display="点击传送APEX可视化曲线网站：https://oldcucumber.github.io/Apex_TTK-HIT_Curve/"/>
  </hyperlinks>
  <pageMargins left="0.7" right="0.7" top="0.75" bottom="0.75" header="0.3" footer="0.3"/>
  <pageSetup paperSize="9" fitToWidth="0" fitToHeight="0" orientation="portrait"/>
  <headerFooter/>
</worksheet>
</file>

<file path=xl/worksheets/sheet7.xml><?xml version="1.0" encoding="utf-8"?>
<worksheet xmlns="http://schemas.openxmlformats.org/spreadsheetml/2006/main">
  <sheetPr/>
  <dimension ref="W198"/>
  <sheetViews>
    <sheetView showGridLines="1" zoomScale="70" zoomScaleNormal="70" workbookViewId="0">
      <pane ySplit="4" topLeftCell="A5" activePane="bottomLeft" state="frozen"/>
    </sheetView>
  </sheetViews>
  <sheetFormatPr defaultColWidth="9" defaultRowHeight="16.5"/>
  <cols>
    <col min="1" max="2" width="15.1667" style="950" customWidth="1"/>
    <col min="3" max="3" width="16.9167" style="950" customWidth="1"/>
    <col min="4" max="4" width="13.9167" style="950" customWidth="1"/>
    <col min="5" max="5" width="17.4833" style="950" customWidth="1"/>
    <col min="6" max="6" width="13.6083" style="950" customWidth="1"/>
    <col min="7" max="7" width="14.8417" style="950" customWidth="1"/>
    <col min="8" max="8" width="18.15" style="950" customWidth="1"/>
    <col min="9" max="9" width="21.3417" style="951" customWidth="1"/>
    <col min="10" max="10" width="28.0833" style="951" customWidth="1"/>
    <col min="11" max="11" width="46.325" style="950" customWidth="1"/>
    <col min="12" max="23" width="8.66667" style="950" customWidth="1"/>
  </cols>
  <sheetData>
    <row r="1" spans="1:11" ht="63" customHeight="1">
      <c r="A1" s="743" t="s">
        <v>650</v>
      </c>
      <c r="B1" s="678" t="s"/>
      <c r="C1" s="678" t="s"/>
      <c r="D1" s="678" t="s"/>
      <c r="E1" s="678" t="s"/>
      <c r="F1" s="678" t="s"/>
      <c r="G1" s="678" t="s"/>
      <c r="H1" s="678" t="s"/>
      <c r="I1" s="678" t="s"/>
      <c r="J1" s="678" t="s"/>
      <c r="K1" s="678" t="s"/>
    </row>
    <row r="2" spans="1:11" ht="28.5" customHeight="1">
      <c r="A2" s="744" t="s">
        <v>304</v>
      </c>
      <c r="B2" s="678" t="s"/>
      <c r="C2" s="678" t="s"/>
      <c r="D2" s="678" t="s"/>
      <c r="E2" s="678" t="s"/>
      <c r="F2" s="678" t="s"/>
      <c r="G2" s="678" t="s"/>
      <c r="H2" s="678" t="s"/>
      <c r="I2" s="678" t="s"/>
      <c r="J2" s="678" t="s"/>
      <c r="K2" s="678" t="s"/>
    </row>
    <row r="3" spans="1:11" ht="37.5" customHeight="1">
      <c r="A3" s="745" t="s">
        <v>305</v>
      </c>
      <c r="B3" s="746" t="s">
        <v>651</v>
      </c>
      <c r="C3" s="745" t="s">
        <v>306</v>
      </c>
      <c r="D3" s="671" t="s"/>
      <c r="E3" s="671" t="s"/>
      <c r="F3" s="747" t="s">
        <v>307</v>
      </c>
      <c r="G3" s="745" t="s">
        <v>308</v>
      </c>
      <c r="H3" s="745" t="s">
        <v>652</v>
      </c>
      <c r="I3" s="748" t="s">
        <v>653</v>
      </c>
      <c r="J3" s="749" t="s">
        <v>654</v>
      </c>
      <c r="K3" s="750" t="s">
        <v>309</v>
      </c>
    </row>
    <row r="4" spans="1:11" ht="37.5" customHeight="1">
      <c r="A4" s="678" t="s"/>
      <c r="B4" s="751" t="s"/>
      <c r="C4" s="671" t="s"/>
      <c r="D4" s="671" t="s"/>
      <c r="E4" s="671" t="s"/>
      <c r="F4" s="673" t="s"/>
      <c r="G4" s="678" t="s"/>
      <c r="H4" s="678" t="s"/>
      <c r="I4" s="752" t="s"/>
      <c r="J4" s="678" t="s"/>
      <c r="K4" s="678" t="s"/>
    </row>
    <row r="5" spans="1:23" s="949" customFormat="1" ht="37.5" customHeight="1">
      <c r="A5" s="753" t="s">
        <v>310</v>
      </c>
      <c r="B5" s="753">
        <v>1</v>
      </c>
      <c r="C5" s="704" t="s">
        <v>148</v>
      </c>
      <c r="D5" s="754" t="s"/>
      <c r="E5" s="682" t="s">
        <v>183</v>
      </c>
      <c r="F5" s="685">
        <v>24</v>
      </c>
      <c r="G5" s="685">
        <v>9</v>
      </c>
      <c r="H5" s="755">
        <v>1.02</v>
      </c>
      <c r="I5" s="756">
        <f>(F5-G5)/F5*100%</f>
        <v>0.625</v>
      </c>
      <c r="J5" s="757">
        <f>H5/(G5-1)*(F5-G5)</f>
        <v>1.9125</v>
      </c>
      <c r="K5" s="758" t="s"/>
      <c r="L5" s="759" t="s"/>
      <c r="M5" s="759" t="s"/>
      <c r="N5" s="759" t="s"/>
      <c r="O5" s="759" t="s"/>
      <c r="P5" s="759" t="s"/>
      <c r="Q5" s="759" t="s"/>
      <c r="R5" s="759" t="s"/>
      <c r="S5" s="759" t="s"/>
      <c r="T5" s="759" t="s"/>
      <c r="U5" s="759" t="s"/>
      <c r="V5" s="759" t="s"/>
      <c r="W5" s="759" t="s"/>
    </row>
    <row r="6" spans="1:23" s="949" customFormat="1" ht="37.5" customHeight="1">
      <c r="A6" s="679" t="s"/>
      <c r="B6" s="760" t="s"/>
      <c r="C6" s="761" t="s"/>
      <c r="D6" s="762" t="s"/>
      <c r="E6" s="682" t="s">
        <v>126</v>
      </c>
      <c r="F6" s="685">
        <v>24</v>
      </c>
      <c r="G6" s="685">
        <v>8</v>
      </c>
      <c r="H6" s="755">
        <v>0.9</v>
      </c>
      <c r="I6" s="756">
        <f>(F6-G6)/F6*100%</f>
        <v>0.666666666666667</v>
      </c>
      <c r="J6" s="757">
        <f>H6/(G6-1)*(F6-G6)</f>
        <v>2.05714285714286</v>
      </c>
      <c r="K6" s="758" t="s"/>
      <c r="L6" s="759" t="s"/>
      <c r="M6" s="759" t="s"/>
      <c r="N6" s="759" t="s"/>
      <c r="O6" s="759" t="s"/>
      <c r="P6" s="759" t="s"/>
      <c r="Q6" s="759" t="s"/>
      <c r="R6" s="759" t="s"/>
      <c r="S6" s="759" t="s"/>
      <c r="T6" s="759" t="s"/>
      <c r="U6" s="759" t="s"/>
      <c r="V6" s="759" t="s"/>
      <c r="W6" s="759" t="s"/>
    </row>
    <row r="7" spans="2:23" s="949" customFormat="1" ht="37.5" customHeight="1">
      <c r="B7" s="703">
        <v>2</v>
      </c>
      <c r="C7" s="704" t="s">
        <v>70</v>
      </c>
      <c r="D7" s="705" t="s"/>
      <c r="E7" s="682" t="s">
        <v>71</v>
      </c>
      <c r="F7" s="682">
        <v>35</v>
      </c>
      <c r="G7" s="682">
        <v>12</v>
      </c>
      <c r="H7" s="763">
        <v>0.83</v>
      </c>
      <c r="I7" s="764">
        <f>(F7-G7)/F7*100%</f>
        <v>0.657142857142857</v>
      </c>
      <c r="J7" s="757">
        <f>H7/(G7-1)*(F7-G7)</f>
        <v>1.73545454545455</v>
      </c>
      <c r="K7" s="682" t="s"/>
      <c r="L7" s="765" t="s"/>
      <c r="M7" s="765" t="s"/>
      <c r="N7" s="765" t="s"/>
      <c r="O7" s="765" t="s"/>
      <c r="P7" s="765" t="s"/>
      <c r="Q7" s="765" t="s"/>
      <c r="R7" s="765" t="s"/>
      <c r="S7" s="765" t="s"/>
      <c r="T7" s="765" t="s"/>
      <c r="U7" s="765" t="s"/>
      <c r="V7" s="765" t="s"/>
      <c r="W7" s="765" t="s"/>
    </row>
    <row r="8" spans="1:23" s="949" customFormat="1" ht="37.5" customHeight="1">
      <c r="A8" s="679" t="s"/>
      <c r="B8" s="680" t="s"/>
      <c r="C8" s="711" t="s"/>
      <c r="D8" s="712" t="s"/>
      <c r="E8" s="682" t="s">
        <v>78</v>
      </c>
      <c r="F8" s="766">
        <v>35</v>
      </c>
      <c r="G8" s="682">
        <v>13</v>
      </c>
      <c r="H8" s="763">
        <v>0.94</v>
      </c>
      <c r="I8" s="764">
        <f>(F7-G8)/F7*100%</f>
        <v>0.628571428571429</v>
      </c>
      <c r="J8" s="767" t="s">
        <v>311</v>
      </c>
      <c r="K8" s="742" t="s"/>
      <c r="L8" s="765" t="s"/>
      <c r="M8" s="765" t="s"/>
      <c r="N8" s="765" t="s"/>
      <c r="O8" s="765" t="s"/>
      <c r="P8" s="765" t="s"/>
      <c r="Q8" s="765" t="s"/>
      <c r="R8" s="765" t="s"/>
      <c r="S8" s="765" t="s"/>
      <c r="T8" s="765" t="s"/>
      <c r="U8" s="765" t="s"/>
      <c r="V8" s="765" t="s"/>
      <c r="W8" s="765" t="s"/>
    </row>
    <row r="9" spans="1:23" s="949" customFormat="1" ht="37.5" customHeight="1">
      <c r="A9" s="679" t="s"/>
      <c r="B9" s="753">
        <v>3</v>
      </c>
      <c r="C9" s="768" t="s">
        <v>135</v>
      </c>
      <c r="D9" s="705" t="s"/>
      <c r="E9" s="769" t="s">
        <v>183</v>
      </c>
      <c r="F9" s="769">
        <v>26</v>
      </c>
      <c r="G9" s="770">
        <v>12</v>
      </c>
      <c r="H9" s="771">
        <v>1.09</v>
      </c>
      <c r="I9" s="772">
        <f>(F9-G9)/F9*100%</f>
        <v>0.538461538461539</v>
      </c>
      <c r="J9" s="773">
        <f>H9/(G9-1)*(F9-G9)</f>
        <v>1.38727272727273</v>
      </c>
      <c r="K9" s="774" t="s">
        <v>655</v>
      </c>
      <c r="L9" s="759" t="s"/>
      <c r="M9" s="759" t="s"/>
      <c r="N9" s="759" t="s"/>
      <c r="O9" s="759" t="s"/>
      <c r="P9" s="759" t="s"/>
      <c r="Q9" s="759" t="s"/>
      <c r="R9" s="759" t="s"/>
      <c r="S9" s="759" t="s"/>
      <c r="T9" s="759" t="s"/>
      <c r="U9" s="759" t="s"/>
      <c r="V9" s="759" t="s"/>
      <c r="W9" s="759" t="s"/>
    </row>
    <row r="10" spans="1:23" s="949" customFormat="1" ht="37.5" customHeight="1">
      <c r="A10" s="679" t="s"/>
      <c r="B10" s="679" t="s"/>
      <c r="C10" s="709" t="s"/>
      <c r="D10" s="710" t="s"/>
      <c r="E10" s="769" t="s">
        <v>137</v>
      </c>
      <c r="F10" s="769">
        <v>13</v>
      </c>
      <c r="G10" s="770">
        <v>8</v>
      </c>
      <c r="H10" s="771">
        <v>0.9</v>
      </c>
      <c r="I10" s="772">
        <f>(F10-G10)/F10*100%</f>
        <v>0.384615384615385</v>
      </c>
      <c r="J10" s="773">
        <f>H10/(G10-1)*(F10-G10)</f>
        <v>0.642857142857143</v>
      </c>
      <c r="K10" s="774" t="s">
        <v>656</v>
      </c>
      <c r="L10" s="759" t="s"/>
      <c r="M10" s="759" t="s"/>
      <c r="N10" s="759" t="s"/>
      <c r="O10" s="759" t="s"/>
      <c r="P10" s="759" t="s"/>
      <c r="Q10" s="759" t="s"/>
      <c r="R10" s="759" t="s"/>
      <c r="S10" s="759" t="s"/>
      <c r="T10" s="759" t="s"/>
      <c r="U10" s="759" t="s"/>
      <c r="V10" s="759" t="s"/>
      <c r="W10" s="759" t="s"/>
    </row>
    <row r="11" spans="1:23" ht="37.5" customHeight="1">
      <c r="A11" s="679" t="s"/>
      <c r="B11" s="753">
        <v>4</v>
      </c>
      <c r="C11" s="704" t="s">
        <v>177</v>
      </c>
      <c r="D11" s="705" t="s"/>
      <c r="E11" s="682" t="s">
        <v>183</v>
      </c>
      <c r="F11" s="682">
        <v>27</v>
      </c>
      <c r="G11" s="682">
        <v>13</v>
      </c>
      <c r="H11" s="763">
        <v>1.01</v>
      </c>
      <c r="I11" s="764">
        <f>(F11-G11)/F11*100%</f>
        <v>0.518518518518519</v>
      </c>
      <c r="J11" s="757">
        <f>H11/(G11-1)*(F11-G11)</f>
        <v>1.17833333333333</v>
      </c>
      <c r="K11" s="742" t="s"/>
      <c r="L11" s="765" t="s"/>
      <c r="M11" s="765" t="s"/>
      <c r="N11" s="765" t="s"/>
      <c r="O11" s="765" t="s"/>
      <c r="P11" s="765" t="s"/>
      <c r="Q11" s="765" t="s"/>
      <c r="R11" s="765" t="s"/>
      <c r="S11" s="765" t="s"/>
      <c r="T11" s="765" t="s"/>
      <c r="U11" s="765" t="s"/>
      <c r="V11" s="765" t="s"/>
      <c r="W11" s="765" t="s"/>
    </row>
    <row r="12" spans="1:23" ht="37.5" customHeight="1">
      <c r="A12" s="679" t="s"/>
      <c r="B12" s="680" t="s"/>
      <c r="C12" s="711" t="s"/>
      <c r="D12" s="712" t="s"/>
      <c r="E12" s="682" t="s">
        <v>56</v>
      </c>
      <c r="F12" s="682">
        <v>29</v>
      </c>
      <c r="G12" s="682">
        <v>13</v>
      </c>
      <c r="H12" s="763">
        <v>1.01</v>
      </c>
      <c r="I12" s="764">
        <f>(F12-G12)/F12*100%</f>
        <v>0.551724137931035</v>
      </c>
      <c r="J12" s="757">
        <f>H12/(G12-1)*(F12-G12)</f>
        <v>1.34666666666667</v>
      </c>
      <c r="K12" s="775" t="s"/>
      <c r="L12" s="765" t="s"/>
      <c r="M12" s="765" t="s"/>
      <c r="N12" s="765" t="s"/>
      <c r="O12" s="765" t="s"/>
      <c r="P12" s="765" t="s"/>
      <c r="Q12" s="765" t="s"/>
      <c r="R12" s="765" t="s"/>
      <c r="S12" s="765" t="s"/>
      <c r="T12" s="765" t="s"/>
      <c r="U12" s="765" t="s"/>
      <c r="V12" s="765" t="s"/>
      <c r="W12" s="765" t="s"/>
    </row>
    <row r="13" spans="1:23" ht="37.5" customHeight="1">
      <c r="A13" s="679" t="s"/>
      <c r="B13" s="681">
        <v>5</v>
      </c>
      <c r="C13" s="716" t="s">
        <v>312</v>
      </c>
      <c r="D13" s="717" t="s"/>
      <c r="E13" s="718" t="s"/>
      <c r="F13" s="682">
        <v>30</v>
      </c>
      <c r="G13" s="682">
        <v>15</v>
      </c>
      <c r="H13" s="763">
        <v>0.9</v>
      </c>
      <c r="I13" s="764">
        <f>(F13-G13)/F13*100%</f>
        <v>0.5</v>
      </c>
      <c r="J13" s="757">
        <f>H13/(G13-1)*(F13-G13)</f>
        <v>0.964285714285715</v>
      </c>
      <c r="K13" s="775" t="s"/>
      <c r="L13" s="765" t="s"/>
      <c r="M13" s="765" t="s"/>
      <c r="N13" s="765" t="s"/>
      <c r="O13" s="765" t="s"/>
      <c r="P13" s="765" t="s"/>
      <c r="Q13" s="765" t="s"/>
      <c r="R13" s="765" t="s"/>
      <c r="S13" s="765" t="s"/>
      <c r="T13" s="765" t="s"/>
      <c r="U13" s="765" t="s"/>
      <c r="V13" s="765" t="s"/>
      <c r="W13" s="765" t="s"/>
    </row>
    <row r="14" spans="1:23" s="949" customFormat="1" ht="37.5" customHeight="1">
      <c r="A14" s="679" t="s"/>
      <c r="B14" s="776">
        <v>6</v>
      </c>
      <c r="C14" s="769" t="s">
        <v>313</v>
      </c>
      <c r="D14" s="724" t="s"/>
      <c r="E14" s="724" t="s"/>
      <c r="F14" s="769">
        <v>24</v>
      </c>
      <c r="G14" s="769">
        <v>13</v>
      </c>
      <c r="H14" s="777">
        <v>0.99</v>
      </c>
      <c r="I14" s="778">
        <f>(F14-G14)/F14*100%</f>
        <v>0.458333333333333</v>
      </c>
      <c r="J14" s="773">
        <f>H14/(G14-1)*(F14-G14)</f>
        <v>0.9075</v>
      </c>
      <c r="K14" s="774" t="s">
        <v>657</v>
      </c>
      <c r="L14" s="765" t="s"/>
      <c r="M14" s="765" t="s"/>
      <c r="N14" s="765" t="s"/>
      <c r="O14" s="765" t="s"/>
      <c r="P14" s="765" t="s"/>
      <c r="Q14" s="765" t="s"/>
      <c r="R14" s="765" t="s"/>
      <c r="S14" s="765" t="s"/>
      <c r="T14" s="765" t="s"/>
      <c r="U14" s="765" t="s"/>
      <c r="V14" s="765" t="s"/>
      <c r="W14" s="765" t="s"/>
    </row>
    <row r="15" spans="1:23" ht="37.5" customHeight="1">
      <c r="A15" s="679" t="s"/>
      <c r="B15" s="776">
        <v>7</v>
      </c>
      <c r="C15" s="779" t="s">
        <v>154</v>
      </c>
      <c r="D15" s="717" t="s"/>
      <c r="E15" s="718" t="s"/>
      <c r="F15" s="769">
        <v>27</v>
      </c>
      <c r="G15" s="769">
        <v>17</v>
      </c>
      <c r="H15" s="777">
        <v>0.91</v>
      </c>
      <c r="I15" s="778">
        <f>(F15-G15)/F15*100%</f>
        <v>0.37037037037037</v>
      </c>
      <c r="J15" s="773">
        <f>H15/(G15-1)*(F15-G15)</f>
        <v>0.56875</v>
      </c>
      <c r="K15" s="774" t="s">
        <v>658</v>
      </c>
      <c r="L15" s="759" t="s"/>
      <c r="M15" s="759" t="s"/>
      <c r="N15" s="759" t="s"/>
      <c r="O15" s="759" t="s"/>
      <c r="P15" s="759" t="s"/>
      <c r="Q15" s="759" t="s"/>
      <c r="R15" s="759" t="s"/>
      <c r="S15" s="759" t="s"/>
      <c r="T15" s="759" t="s"/>
      <c r="U15" s="759" t="s"/>
      <c r="V15" s="759" t="s"/>
      <c r="W15" s="759" t="s"/>
    </row>
    <row r="16" spans="1:23" ht="37.5" hidden="1" customHeight="1">
      <c r="A16" s="780" t="s"/>
      <c r="B16" s="776">
        <v>8</v>
      </c>
      <c r="C16" s="682" t="s">
        <v>314</v>
      </c>
      <c r="D16" s="724" t="s"/>
      <c r="E16" s="724" t="s"/>
      <c r="F16" s="685">
        <v>11</v>
      </c>
      <c r="G16" s="685">
        <v>8</v>
      </c>
      <c r="H16" s="755">
        <v>1</v>
      </c>
      <c r="I16" s="756">
        <f>(F16-G16)/F16*100%</f>
        <v>0.272727272727273</v>
      </c>
      <c r="J16" s="757">
        <f>H16/(G16-1)*(F16-G16)</f>
        <v>0.428571428571429</v>
      </c>
      <c r="K16" s="775" t="s"/>
      <c r="L16" s="765" t="s"/>
      <c r="M16" s="765" t="s"/>
      <c r="N16" s="765" t="s"/>
      <c r="O16" s="765" t="s"/>
      <c r="P16" s="765" t="s"/>
      <c r="Q16" s="765" t="s"/>
      <c r="R16" s="765" t="s"/>
      <c r="S16" s="765" t="s"/>
      <c r="T16" s="765" t="s"/>
      <c r="U16" s="765" t="s"/>
      <c r="V16" s="765" t="s"/>
      <c r="W16" s="765" t="s"/>
    </row>
    <row r="17" spans="1:23" ht="37.5" customHeight="1">
      <c r="A17" s="781" t="s">
        <v>315</v>
      </c>
      <c r="B17" s="776">
        <v>1</v>
      </c>
      <c r="C17" s="782" t="s">
        <v>189</v>
      </c>
      <c r="D17" s="783" t="s"/>
      <c r="E17" s="705" t="s"/>
      <c r="F17" s="758">
        <v>25</v>
      </c>
      <c r="G17" s="758">
        <v>11</v>
      </c>
      <c r="H17" s="784">
        <v>1.18</v>
      </c>
      <c r="I17" s="785">
        <f>(F17-G17)/F17*100%</f>
        <v>0.56</v>
      </c>
      <c r="J17" s="786">
        <f>H17/(G17-1)*(F17-G17)</f>
        <v>1.652</v>
      </c>
      <c r="K17" s="775" t="s"/>
      <c r="L17" s="765" t="s"/>
      <c r="M17" s="765" t="s"/>
      <c r="N17" s="765" t="s"/>
      <c r="O17" s="765" t="s"/>
      <c r="P17" s="765" t="s"/>
      <c r="Q17" s="765" t="s"/>
      <c r="R17" s="765" t="s"/>
      <c r="S17" s="765" t="s"/>
      <c r="T17" s="765" t="s"/>
      <c r="U17" s="765" t="s"/>
      <c r="V17" s="765" t="s"/>
      <c r="W17" s="765" t="s"/>
    </row>
    <row r="18" spans="1:23" ht="37.5" hidden="1" customHeight="1">
      <c r="A18" s="679" t="s"/>
      <c r="B18" s="697" t="s"/>
      <c r="C18" s="711" t="s"/>
      <c r="D18" s="787" t="s"/>
      <c r="E18" s="712" t="s"/>
      <c r="F18" s="758">
        <v>30</v>
      </c>
      <c r="G18" s="758">
        <v>10</v>
      </c>
      <c r="H18" s="784">
        <v>1.43</v>
      </c>
      <c r="I18" s="724" t="s"/>
      <c r="J18" s="786">
        <f>H18/(G18-1)*(F18-G18)</f>
        <v>3.17777777777778</v>
      </c>
      <c r="K18" s="775" t="s"/>
      <c r="L18" s="765" t="s"/>
      <c r="M18" s="765" t="s"/>
      <c r="N18" s="765" t="s"/>
      <c r="O18" s="765" t="s"/>
      <c r="P18" s="765" t="s"/>
      <c r="Q18" s="765" t="s"/>
      <c r="R18" s="765" t="s"/>
      <c r="S18" s="765" t="s"/>
      <c r="T18" s="765" t="s"/>
      <c r="U18" s="765" t="s"/>
      <c r="V18" s="765" t="s"/>
      <c r="W18" s="765" t="s"/>
    </row>
    <row r="19" spans="1:23" ht="37.5" customHeight="1">
      <c r="A19" s="679" t="s"/>
      <c r="B19" s="776">
        <v>2</v>
      </c>
      <c r="C19" s="682" t="s">
        <v>316</v>
      </c>
      <c r="D19" s="683" t="s"/>
      <c r="E19" s="683" t="s"/>
      <c r="F19" s="682">
        <v>29</v>
      </c>
      <c r="G19" s="685">
        <v>10</v>
      </c>
      <c r="H19" s="755">
        <v>0.9</v>
      </c>
      <c r="I19" s="764">
        <f>(F19-G19)/F19*100%</f>
        <v>0.655172413793104</v>
      </c>
      <c r="J19" s="757">
        <f>H19/(G19-1)*(F19-G19)</f>
        <v>1.9</v>
      </c>
      <c r="K19" s="758" t="s"/>
      <c r="L19" s="759" t="s"/>
      <c r="M19" s="759" t="s"/>
      <c r="N19" s="759" t="s"/>
      <c r="O19" s="759" t="s"/>
      <c r="P19" s="759" t="s"/>
      <c r="Q19" s="759" t="s"/>
      <c r="R19" s="759" t="s"/>
      <c r="S19" s="759" t="s"/>
      <c r="T19" s="759" t="s"/>
      <c r="U19" s="759" t="s"/>
      <c r="V19" s="759" t="s"/>
      <c r="W19" s="759" t="s"/>
    </row>
    <row r="20" spans="1:23" ht="37.5" customHeight="1">
      <c r="A20" s="679" t="s"/>
      <c r="B20" s="776">
        <v>3</v>
      </c>
      <c r="C20" s="716" t="s">
        <v>82</v>
      </c>
      <c r="D20" s="717" t="s"/>
      <c r="E20" s="718" t="s"/>
      <c r="F20" s="685">
        <v>29</v>
      </c>
      <c r="G20" s="685">
        <v>10</v>
      </c>
      <c r="H20" s="755">
        <v>0.83</v>
      </c>
      <c r="I20" s="756">
        <f>(F20-G20)/F20*100%</f>
        <v>0.655172413793104</v>
      </c>
      <c r="J20" s="757">
        <f>H20/(G20-1)*(F20-G20)</f>
        <v>1.75222222222222</v>
      </c>
      <c r="K20" s="775" t="s"/>
      <c r="L20" s="765" t="s"/>
      <c r="M20" s="765" t="s"/>
      <c r="N20" s="765" t="s"/>
      <c r="O20" s="765" t="s"/>
      <c r="P20" s="765" t="s"/>
      <c r="Q20" s="765" t="s"/>
      <c r="R20" s="765" t="s"/>
      <c r="S20" s="765" t="s"/>
      <c r="T20" s="765" t="s"/>
      <c r="U20" s="765" t="s"/>
      <c r="V20" s="765" t="s"/>
      <c r="W20" s="765" t="s"/>
    </row>
    <row r="21" spans="1:23" ht="37.5" customHeight="1">
      <c r="A21" s="679" t="s"/>
      <c r="B21" s="776">
        <v>4</v>
      </c>
      <c r="C21" s="682" t="s">
        <v>106</v>
      </c>
      <c r="D21" s="683" t="s"/>
      <c r="E21" s="682" t="s">
        <v>317</v>
      </c>
      <c r="F21" s="685">
        <v>32</v>
      </c>
      <c r="G21" s="685">
        <v>12</v>
      </c>
      <c r="H21" s="755">
        <v>0.87</v>
      </c>
      <c r="I21" s="756">
        <f>(F21-G21)/F21*100%</f>
        <v>0.625</v>
      </c>
      <c r="J21" s="757">
        <v>1.39</v>
      </c>
      <c r="K21" s="758" t="s"/>
      <c r="L21" s="759" t="s"/>
      <c r="M21" s="759" t="s"/>
      <c r="N21" s="759" t="s"/>
      <c r="O21" s="759" t="s"/>
      <c r="P21" s="759" t="s"/>
      <c r="Q21" s="759" t="s"/>
      <c r="R21" s="759" t="s"/>
      <c r="S21" s="759" t="s"/>
      <c r="T21" s="759" t="s"/>
      <c r="U21" s="759" t="s"/>
      <c r="V21" s="759" t="s"/>
      <c r="W21" s="759" t="s"/>
    </row>
    <row r="22" spans="1:23" ht="37.5" customHeight="1">
      <c r="A22" s="679" t="s"/>
      <c r="B22" s="697" t="s"/>
      <c r="C22" s="683" t="s"/>
      <c r="D22" s="683" t="s"/>
      <c r="E22" s="682" t="s">
        <v>318</v>
      </c>
      <c r="F22" s="685">
        <v>32</v>
      </c>
      <c r="G22" s="685">
        <v>12</v>
      </c>
      <c r="H22" s="755">
        <v>1.08</v>
      </c>
      <c r="I22" s="724" t="s"/>
      <c r="J22" s="757">
        <v>1.92</v>
      </c>
      <c r="K22" s="758" t="s"/>
      <c r="L22" s="759" t="s"/>
      <c r="M22" s="759" t="s"/>
      <c r="N22" s="759" t="s"/>
      <c r="O22" s="759" t="s"/>
      <c r="P22" s="759" t="s"/>
      <c r="Q22" s="759" t="s"/>
      <c r="R22" s="759" t="s"/>
      <c r="S22" s="759" t="s"/>
      <c r="T22" s="759" t="s"/>
      <c r="U22" s="759" t="s"/>
      <c r="V22" s="759" t="s"/>
      <c r="W22" s="759" t="s"/>
    </row>
    <row r="23" spans="1:23" ht="37.5" customHeight="1">
      <c r="A23" s="680" t="s"/>
      <c r="B23" s="776">
        <v>5</v>
      </c>
      <c r="C23" s="682" t="s">
        <v>164</v>
      </c>
      <c r="D23" s="683" t="s"/>
      <c r="E23" s="683" t="s"/>
      <c r="F23" s="682">
        <v>31</v>
      </c>
      <c r="G23" s="682">
        <v>14</v>
      </c>
      <c r="H23" s="763">
        <v>0.97</v>
      </c>
      <c r="I23" s="756">
        <f>(F23-G23)/F23*100%</f>
        <v>0.548387096774194</v>
      </c>
      <c r="J23" s="757">
        <f>H23/(G23-1)*(F23-G23)</f>
        <v>1.26846153846154</v>
      </c>
      <c r="K23" s="758" t="s"/>
      <c r="L23" s="759" t="s"/>
      <c r="M23" s="759" t="s"/>
      <c r="N23" s="759" t="s"/>
      <c r="O23" s="759" t="s"/>
      <c r="P23" s="759" t="s"/>
      <c r="Q23" s="759" t="s"/>
      <c r="R23" s="759" t="s"/>
      <c r="S23" s="759" t="s"/>
      <c r="T23" s="759" t="s"/>
      <c r="U23" s="759" t="s"/>
      <c r="V23" s="759" t="s"/>
      <c r="W23" s="759" t="s"/>
    </row>
    <row r="24" spans="1:23" ht="37.5" customHeight="1">
      <c r="A24" s="781" t="s">
        <v>319</v>
      </c>
      <c r="B24" s="776">
        <v>1</v>
      </c>
      <c r="C24" s="682" t="s">
        <v>23</v>
      </c>
      <c r="D24" s="683" t="s"/>
      <c r="E24" s="683" t="s"/>
      <c r="F24" s="684">
        <v>173</v>
      </c>
      <c r="G24" s="684">
        <v>15</v>
      </c>
      <c r="H24" s="763">
        <v>0.73</v>
      </c>
      <c r="I24" s="764">
        <f>(F24-G24)/F24*100%</f>
        <v>0.913294797687861</v>
      </c>
      <c r="J24" s="757">
        <f>H24/(G24-1)*(F24-G24)</f>
        <v>8.23857142857143</v>
      </c>
      <c r="K24" s="758" t="s"/>
      <c r="L24" s="759" t="s"/>
      <c r="M24" s="759" t="s"/>
      <c r="N24" s="759" t="s"/>
      <c r="O24" s="759" t="s"/>
      <c r="P24" s="759" t="s"/>
      <c r="Q24" s="759" t="s"/>
      <c r="R24" s="759" t="s"/>
      <c r="S24" s="759" t="s"/>
      <c r="T24" s="759" t="s"/>
      <c r="U24" s="759" t="s"/>
      <c r="V24" s="759" t="s"/>
      <c r="W24" s="759" t="s"/>
    </row>
    <row r="25" spans="1:23" ht="37.5" customHeight="1">
      <c r="A25" s="679" t="s"/>
      <c r="B25" s="776">
        <v>2</v>
      </c>
      <c r="C25" s="682" t="s">
        <v>157</v>
      </c>
      <c r="D25" s="683" t="s"/>
      <c r="E25" s="682" t="s">
        <v>158</v>
      </c>
      <c r="F25" s="685">
        <v>40</v>
      </c>
      <c r="G25" s="685">
        <v>7</v>
      </c>
      <c r="H25" s="755">
        <v>0.92</v>
      </c>
      <c r="I25" s="756">
        <f>(F25-G25)/F25*100%</f>
        <v>0.825</v>
      </c>
      <c r="J25" s="757">
        <f>H25/(G25-1)*(F25-G25)</f>
        <v>5.06</v>
      </c>
      <c r="K25" s="758" t="s"/>
      <c r="L25" s="759" t="s"/>
      <c r="M25" s="759" t="s"/>
      <c r="N25" s="759" t="s"/>
      <c r="O25" s="759" t="s"/>
      <c r="P25" s="759" t="s"/>
      <c r="Q25" s="759" t="s"/>
      <c r="R25" s="759" t="s"/>
      <c r="S25" s="759" t="s"/>
      <c r="T25" s="759" t="s"/>
      <c r="U25" s="759" t="s"/>
      <c r="V25" s="759" t="s"/>
      <c r="W25" s="759" t="s"/>
    </row>
    <row r="26" spans="1:23" ht="37.5" customHeight="1">
      <c r="A26" s="679" t="s"/>
      <c r="B26" s="697" t="s"/>
      <c r="C26" s="683" t="s"/>
      <c r="D26" s="683" t="s"/>
      <c r="E26" s="682" t="s">
        <v>49</v>
      </c>
      <c r="F26" s="685">
        <v>40</v>
      </c>
      <c r="G26" s="685">
        <v>7</v>
      </c>
      <c r="H26" s="755">
        <v>1.2</v>
      </c>
      <c r="I26" s="724" t="s"/>
      <c r="J26" s="757">
        <f>H26/(G26-1)*(F26-G26)</f>
        <v>6.6</v>
      </c>
      <c r="K26" s="758" t="s"/>
      <c r="L26" s="759" t="s"/>
      <c r="M26" s="759" t="s"/>
      <c r="N26" s="759" t="s"/>
      <c r="O26" s="759" t="s"/>
      <c r="P26" s="759" t="s"/>
      <c r="Q26" s="759" t="s"/>
      <c r="R26" s="759" t="s"/>
      <c r="S26" s="759" t="s"/>
      <c r="T26" s="759" t="s"/>
      <c r="U26" s="759" t="s"/>
      <c r="V26" s="759" t="s"/>
      <c r="W26" s="759" t="s"/>
    </row>
    <row r="27" spans="1:23" ht="37.5" customHeight="1">
      <c r="A27" s="679" t="s"/>
      <c r="B27" s="753">
        <v>3</v>
      </c>
      <c r="C27" s="704" t="s">
        <v>169</v>
      </c>
      <c r="D27" s="705" t="s"/>
      <c r="E27" s="682" t="s">
        <v>183</v>
      </c>
      <c r="F27" s="682">
        <v>50</v>
      </c>
      <c r="G27" s="685">
        <v>10</v>
      </c>
      <c r="H27" s="755">
        <v>1.02</v>
      </c>
      <c r="I27" s="764">
        <f>(F27-G27)/F27*100%</f>
        <v>0.8</v>
      </c>
      <c r="J27" s="757">
        <f>H27/(G27-1)*(F27-G27)</f>
        <v>4.53333333333333</v>
      </c>
      <c r="K27" s="758" t="s"/>
      <c r="L27" s="759" t="s"/>
      <c r="M27" s="759" t="s"/>
      <c r="N27" s="759" t="s"/>
      <c r="O27" s="759" t="s"/>
      <c r="P27" s="759" t="s"/>
      <c r="Q27" s="759" t="s"/>
      <c r="R27" s="759" t="s"/>
      <c r="S27" s="759" t="s"/>
      <c r="T27" s="759" t="s"/>
      <c r="U27" s="759" t="s"/>
      <c r="V27" s="759" t="s"/>
      <c r="W27" s="759" t="s"/>
    </row>
    <row r="28" spans="1:23" ht="37.5" hidden="1" customHeight="1">
      <c r="A28" s="679" t="s"/>
      <c r="B28" s="680" t="s"/>
      <c r="C28" s="711" t="s"/>
      <c r="D28" s="712" t="s"/>
      <c r="E28" s="682" t="s">
        <v>56</v>
      </c>
      <c r="F28" s="682">
        <v>52</v>
      </c>
      <c r="G28" s="685">
        <v>10</v>
      </c>
      <c r="H28" s="755">
        <v>1.02</v>
      </c>
      <c r="I28" s="764">
        <f>(F28-G28)/F28*100%</f>
        <v>0.807692307692308</v>
      </c>
      <c r="J28" s="757">
        <f>H28/(G28-1)*(F28-G28)</f>
        <v>4.76</v>
      </c>
      <c r="K28" s="758" t="s"/>
      <c r="L28" s="759" t="s"/>
      <c r="M28" s="759" t="s"/>
      <c r="N28" s="759" t="s"/>
      <c r="O28" s="759" t="s"/>
      <c r="P28" s="759" t="s"/>
      <c r="Q28" s="759" t="s"/>
      <c r="R28" s="759" t="s"/>
      <c r="S28" s="759" t="s"/>
      <c r="T28" s="759" t="s"/>
      <c r="U28" s="759" t="s"/>
      <c r="V28" s="759" t="s"/>
      <c r="W28" s="759" t="s"/>
    </row>
    <row r="29" spans="1:23" ht="37.5" customHeight="1">
      <c r="A29" s="679" t="s"/>
      <c r="B29" s="753">
        <v>4</v>
      </c>
      <c r="C29" s="758" t="s">
        <v>320</v>
      </c>
      <c r="D29" s="683" t="s"/>
      <c r="E29" s="683" t="s"/>
      <c r="F29" s="758">
        <v>28</v>
      </c>
      <c r="G29" s="758">
        <v>9</v>
      </c>
      <c r="H29" s="784">
        <v>0.82</v>
      </c>
      <c r="I29" s="788">
        <f>(F29-G29)/F29*100%</f>
        <v>0.678571428571429</v>
      </c>
      <c r="J29" s="786">
        <f>H29/(G29-1)*(F29-G29)</f>
        <v>1.9475</v>
      </c>
      <c r="K29" s="758" t="s"/>
      <c r="L29" s="759" t="s"/>
      <c r="M29" s="759" t="s"/>
      <c r="N29" s="759" t="s"/>
      <c r="O29" s="759" t="s"/>
      <c r="P29" s="759" t="s"/>
      <c r="Q29" s="759" t="s"/>
      <c r="R29" s="759" t="s"/>
      <c r="S29" s="759" t="s"/>
      <c r="T29" s="759" t="s"/>
      <c r="U29" s="759" t="s"/>
      <c r="V29" s="759" t="s"/>
      <c r="W29" s="759" t="s"/>
    </row>
    <row r="30" spans="1:23" ht="37.5" customHeight="1">
      <c r="A30" s="789" t="s"/>
      <c r="B30" s="680" t="s"/>
      <c r="C30" s="758" t="s">
        <v>321</v>
      </c>
      <c r="D30" s="683" t="s"/>
      <c r="E30" s="683" t="s"/>
      <c r="F30" s="758">
        <v>28</v>
      </c>
      <c r="G30" s="758">
        <v>10</v>
      </c>
      <c r="H30" s="784">
        <v>0.92</v>
      </c>
      <c r="I30" s="788">
        <f>(F30-G30)/F30*100%</f>
        <v>0.642857142857143</v>
      </c>
      <c r="J30" s="786">
        <f>H30/(G30-1)*(F30-G30)</f>
        <v>1.84</v>
      </c>
      <c r="K30" s="758" t="s"/>
      <c r="L30" s="759" t="s"/>
      <c r="M30" s="759" t="s"/>
      <c r="N30" s="759" t="s"/>
      <c r="O30" s="759" t="s"/>
      <c r="P30" s="759" t="s"/>
      <c r="Q30" s="759" t="s"/>
      <c r="R30" s="759" t="s"/>
      <c r="S30" s="759" t="s"/>
      <c r="T30" s="759" t="s"/>
      <c r="U30" s="759" t="s"/>
      <c r="V30" s="759" t="s"/>
      <c r="W30" s="759" t="s"/>
    </row>
    <row r="31" spans="1:23" ht="37.5" customHeight="1">
      <c r="A31" s="679" t="s"/>
      <c r="B31" s="776">
        <v>5</v>
      </c>
      <c r="C31" s="758" t="s">
        <v>29</v>
      </c>
      <c r="D31" s="683" t="s"/>
      <c r="E31" s="758" t="s">
        <v>49</v>
      </c>
      <c r="F31" s="774">
        <v>48</v>
      </c>
      <c r="G31" s="758">
        <v>13</v>
      </c>
      <c r="H31" s="784">
        <v>1.33</v>
      </c>
      <c r="I31" s="785">
        <f>(F31-G31)/F31*100%</f>
        <v>0.729166666666667</v>
      </c>
      <c r="J31" s="786">
        <v>1.48</v>
      </c>
      <c r="K31" s="758" t="s"/>
      <c r="L31" s="759" t="s"/>
      <c r="M31" s="759" t="s"/>
      <c r="N31" s="759" t="s"/>
      <c r="O31" s="759" t="s"/>
      <c r="P31" s="759" t="s"/>
      <c r="Q31" s="759" t="s"/>
      <c r="R31" s="759" t="s"/>
      <c r="S31" s="759" t="s"/>
      <c r="T31" s="759" t="s"/>
      <c r="U31" s="759" t="s"/>
      <c r="V31" s="759" t="s"/>
      <c r="W31" s="759" t="s"/>
    </row>
    <row r="32" spans="1:23" ht="37.5" customHeight="1">
      <c r="A32" s="679" t="s"/>
      <c r="B32" s="697" t="s"/>
      <c r="C32" s="683" t="s"/>
      <c r="D32" s="683" t="s"/>
      <c r="E32" s="758" t="s">
        <v>322</v>
      </c>
      <c r="F32" s="774">
        <v>48</v>
      </c>
      <c r="G32" s="758">
        <v>13</v>
      </c>
      <c r="H32" s="784">
        <v>1.07</v>
      </c>
      <c r="I32" s="724" t="s"/>
      <c r="J32" s="786">
        <v>1.46</v>
      </c>
      <c r="K32" s="758" t="s"/>
      <c r="L32" s="759" t="s"/>
      <c r="M32" s="759" t="s"/>
      <c r="N32" s="759" t="s"/>
      <c r="O32" s="759" t="s"/>
      <c r="P32" s="759" t="s"/>
      <c r="Q32" s="759" t="s"/>
      <c r="R32" s="759" t="s"/>
      <c r="S32" s="759" t="s"/>
      <c r="T32" s="759" t="s"/>
      <c r="U32" s="759" t="s"/>
      <c r="V32" s="759" t="s"/>
      <c r="W32" s="759" t="s"/>
    </row>
    <row r="33" spans="1:23" ht="37.5" customHeight="1">
      <c r="A33" s="781" t="s">
        <v>323</v>
      </c>
      <c r="B33" s="776">
        <v>1</v>
      </c>
      <c r="C33" s="758" t="s">
        <v>279</v>
      </c>
      <c r="D33" s="683" t="s"/>
      <c r="E33" s="758" t="s">
        <v>89</v>
      </c>
      <c r="F33" s="774">
        <v>5</v>
      </c>
      <c r="G33" s="774">
        <v>3</v>
      </c>
      <c r="H33" s="790">
        <v>2.12</v>
      </c>
      <c r="I33" s="785">
        <f>(F33-G33)/F33*100%</f>
        <v>0.4</v>
      </c>
      <c r="J33" s="786">
        <f>H33/(G33-1)*(F33-G33)</f>
        <v>2.12</v>
      </c>
      <c r="K33" s="758" t="s"/>
      <c r="L33" s="759" t="s"/>
      <c r="M33" s="759" t="s"/>
      <c r="N33" s="759" t="s"/>
      <c r="O33" s="759" t="s"/>
      <c r="P33" s="759" t="s"/>
      <c r="Q33" s="759" t="s"/>
      <c r="R33" s="759" t="s"/>
      <c r="S33" s="759" t="s"/>
      <c r="T33" s="759" t="s"/>
      <c r="U33" s="759" t="s"/>
      <c r="V33" s="759" t="s"/>
      <c r="W33" s="759" t="s"/>
    </row>
    <row r="34" spans="1:23" s="949" customFormat="1" ht="37.5" customHeight="1">
      <c r="A34" s="679" t="s"/>
      <c r="B34" s="753">
        <v>2</v>
      </c>
      <c r="C34" s="782" t="s">
        <v>324</v>
      </c>
      <c r="D34" s="705" t="s"/>
      <c r="E34" s="758" t="s">
        <v>89</v>
      </c>
      <c r="F34" s="774">
        <v>10</v>
      </c>
      <c r="G34" s="774">
        <v>4</v>
      </c>
      <c r="H34" s="790">
        <v>0.86</v>
      </c>
      <c r="I34" s="788">
        <f>(F34-G34)/F34*100%</f>
        <v>0.6</v>
      </c>
      <c r="J34" s="786">
        <f>H34/(G34-1)*(F34-G34)</f>
        <v>1.72</v>
      </c>
      <c r="K34" s="758" t="s"/>
      <c r="L34" s="766" t="s"/>
      <c r="M34" s="766" t="s"/>
      <c r="N34" s="766" t="s"/>
      <c r="O34" s="766" t="s"/>
      <c r="P34" s="766" t="s"/>
      <c r="Q34" s="766" t="s"/>
      <c r="R34" s="766" t="s"/>
      <c r="S34" s="766" t="s"/>
      <c r="T34" s="766" t="s"/>
      <c r="U34" s="766" t="s"/>
      <c r="V34" s="766" t="s"/>
      <c r="W34" s="766" t="s"/>
    </row>
    <row r="35" spans="1:23" s="949" customFormat="1" ht="37.5" customHeight="1">
      <c r="A35" s="791" t="s"/>
      <c r="B35" s="679" t="s"/>
      <c r="C35" s="709" t="s"/>
      <c r="D35" s="712" t="s"/>
      <c r="E35" s="758" t="s">
        <v>325</v>
      </c>
      <c r="F35" s="774">
        <v>12</v>
      </c>
      <c r="G35" s="774">
        <v>4</v>
      </c>
      <c r="H35" s="790">
        <v>0.81</v>
      </c>
      <c r="I35" s="788">
        <f>(F35-G35)/F35*100%</f>
        <v>0.666666666666667</v>
      </c>
      <c r="J35" s="786">
        <f>H35/(G35-1)*(F35-G35)</f>
        <v>2.16</v>
      </c>
      <c r="K35" s="758" t="s"/>
      <c r="L35" s="766" t="s"/>
      <c r="M35" s="766" t="s"/>
      <c r="N35" s="766" t="s"/>
      <c r="O35" s="766" t="s"/>
      <c r="P35" s="766" t="s"/>
      <c r="Q35" s="766" t="s"/>
      <c r="R35" s="766" t="s"/>
      <c r="S35" s="766" t="s"/>
      <c r="T35" s="766" t="s"/>
      <c r="U35" s="766" t="s"/>
      <c r="V35" s="766" t="s"/>
      <c r="W35" s="766" t="s"/>
    </row>
    <row r="36" spans="1:23" ht="37.5" customHeight="1">
      <c r="A36" s="679" t="s"/>
      <c r="B36" s="753">
        <v>3</v>
      </c>
      <c r="C36" s="792" t="s">
        <v>226</v>
      </c>
      <c r="D36" s="758" t="s">
        <v>183</v>
      </c>
      <c r="E36" s="758" t="s">
        <v>89</v>
      </c>
      <c r="F36" s="774">
        <v>5</v>
      </c>
      <c r="G36" s="774">
        <v>3</v>
      </c>
      <c r="H36" s="790">
        <v>1.52</v>
      </c>
      <c r="I36" s="785">
        <f>(F36-G36)/F36*100%</f>
        <v>0.4</v>
      </c>
      <c r="J36" s="786">
        <f>H36/(G36-1)*(F36-G36)</f>
        <v>1.52</v>
      </c>
      <c r="K36" s="758" t="s"/>
      <c r="L36" s="759" t="s"/>
      <c r="M36" s="759" t="s"/>
      <c r="N36" s="759" t="s"/>
      <c r="O36" s="759" t="s"/>
      <c r="P36" s="759" t="s"/>
      <c r="Q36" s="759" t="s"/>
      <c r="R36" s="759" t="s"/>
      <c r="S36" s="759" t="s"/>
      <c r="T36" s="759" t="s"/>
      <c r="U36" s="759" t="s"/>
      <c r="V36" s="759" t="s"/>
      <c r="W36" s="759" t="s"/>
    </row>
    <row r="37" spans="1:23" ht="37.5" customHeight="1">
      <c r="A37" s="679" t="s"/>
      <c r="B37" s="679" t="s"/>
      <c r="C37" s="679" t="s"/>
      <c r="D37" s="758" t="s">
        <v>56</v>
      </c>
      <c r="E37" s="758" t="s">
        <v>89</v>
      </c>
      <c r="F37" s="774">
        <v>6</v>
      </c>
      <c r="G37" s="774">
        <v>3</v>
      </c>
      <c r="H37" s="790">
        <v>1.41</v>
      </c>
      <c r="I37" s="785">
        <f>(F37-G37)/F37*100%</f>
        <v>0.5</v>
      </c>
      <c r="J37" s="786">
        <f>H37/(G37-1)*(F37-G37)</f>
        <v>2.115</v>
      </c>
      <c r="K37" s="758" t="s"/>
      <c r="L37" s="759" t="s"/>
      <c r="M37" s="759" t="s"/>
      <c r="N37" s="759" t="s"/>
      <c r="O37" s="759" t="s"/>
      <c r="P37" s="759" t="s"/>
      <c r="Q37" s="759" t="s"/>
      <c r="R37" s="759" t="s"/>
      <c r="S37" s="759" t="s"/>
      <c r="T37" s="759" t="s"/>
      <c r="U37" s="759" t="s"/>
      <c r="V37" s="759" t="s"/>
      <c r="W37" s="759" t="s"/>
    </row>
    <row r="38" spans="1:11" ht="37.5" customHeight="1">
      <c r="A38" s="679" t="s"/>
      <c r="B38" s="753">
        <v>4</v>
      </c>
      <c r="C38" s="793" t="s">
        <v>88</v>
      </c>
      <c r="D38" s="758" t="s">
        <v>183</v>
      </c>
      <c r="E38" s="758" t="s">
        <v>89</v>
      </c>
      <c r="F38" s="774">
        <v>8</v>
      </c>
      <c r="G38" s="774">
        <v>4</v>
      </c>
      <c r="H38" s="794">
        <v>0.89</v>
      </c>
      <c r="I38" s="785">
        <f>(F38-G38)/F38*100%</f>
        <v>0.5</v>
      </c>
      <c r="J38" s="795">
        <f>H38/(G38-1)*(F38-G38)</f>
        <v>1.18666666666667</v>
      </c>
      <c r="K38" s="758" t="s"/>
    </row>
    <row r="39" spans="1:11" ht="37.5" customHeight="1">
      <c r="A39" s="679" t="s"/>
      <c r="B39" s="680" t="s"/>
      <c r="C39" s="680" t="s"/>
      <c r="D39" s="758" t="s">
        <v>137</v>
      </c>
      <c r="E39" s="758" t="s">
        <v>89</v>
      </c>
      <c r="F39" s="774">
        <v>8</v>
      </c>
      <c r="G39" s="774">
        <v>4</v>
      </c>
      <c r="H39" s="794">
        <v>0.84</v>
      </c>
      <c r="I39" s="785">
        <f>(F39-G39)/F39*100%</f>
        <v>0.5</v>
      </c>
      <c r="J39" s="795">
        <f>H39/(G39-1)*(F39-G39)</f>
        <v>1.12</v>
      </c>
      <c r="K39" s="758" t="s"/>
    </row>
    <row r="40" spans="1:23" s="949" customFormat="1" ht="37.5" hidden="1" customHeight="1">
      <c r="A40" s="679" t="s"/>
      <c r="B40" s="753">
        <v>5</v>
      </c>
      <c r="C40" s="758" t="s">
        <v>326</v>
      </c>
      <c r="D40" s="724" t="s"/>
      <c r="E40" s="758" t="s">
        <v>89</v>
      </c>
      <c r="F40" s="774">
        <v>5</v>
      </c>
      <c r="G40" s="774">
        <v>4</v>
      </c>
      <c r="H40" s="790">
        <v>0.95</v>
      </c>
      <c r="I40" s="785">
        <f>(F40-G40)/F40*100%</f>
        <v>0.2</v>
      </c>
      <c r="J40" s="786">
        <f>H40/(G40-1)*(F40-G40)</f>
        <v>0.316666666666667</v>
      </c>
      <c r="K40" s="758" t="s"/>
      <c r="L40" s="766" t="s"/>
      <c r="M40" s="766" t="s"/>
      <c r="N40" s="766" t="s"/>
      <c r="O40" s="766" t="s"/>
      <c r="P40" s="766" t="s"/>
      <c r="Q40" s="766" t="s"/>
      <c r="R40" s="766" t="s"/>
      <c r="S40" s="766" t="s"/>
      <c r="T40" s="766" t="s"/>
      <c r="U40" s="766" t="s"/>
      <c r="V40" s="766" t="s"/>
      <c r="W40" s="766" t="s"/>
    </row>
    <row r="41" spans="1:23" s="949" customFormat="1" ht="37.5" hidden="1" customHeight="1">
      <c r="A41" s="679" t="s"/>
      <c r="B41" s="679" t="s"/>
      <c r="C41" s="782" t="s"/>
      <c r="D41" s="796" t="s"/>
      <c r="E41" s="758" t="s"/>
      <c r="F41" s="797" t="s"/>
      <c r="G41" s="774" t="s"/>
      <c r="H41" s="790" t="s"/>
      <c r="I41" s="785" t="s"/>
      <c r="J41" s="786" t="s"/>
      <c r="K41" s="792" t="s"/>
      <c r="L41" s="766" t="s"/>
      <c r="M41" s="766" t="s"/>
      <c r="N41" s="766" t="s"/>
      <c r="O41" s="766" t="s"/>
      <c r="P41" s="766" t="s"/>
      <c r="Q41" s="766" t="s"/>
      <c r="R41" s="766" t="s"/>
      <c r="S41" s="766" t="s"/>
      <c r="T41" s="766" t="s"/>
      <c r="U41" s="766" t="s"/>
      <c r="V41" s="766" t="s"/>
      <c r="W41" s="766" t="s"/>
    </row>
    <row r="42" spans="1:23" ht="37.5" customHeight="1">
      <c r="A42" s="781" t="s">
        <v>327</v>
      </c>
      <c r="B42" s="753">
        <v>1</v>
      </c>
      <c r="C42" s="782" t="s">
        <v>328</v>
      </c>
      <c r="D42" s="705" t="s"/>
      <c r="E42" s="758" t="s">
        <v>329</v>
      </c>
      <c r="F42" s="792">
        <v>40</v>
      </c>
      <c r="G42" s="758">
        <v>3</v>
      </c>
      <c r="H42" s="784">
        <v>1.52</v>
      </c>
      <c r="I42" s="785">
        <f>(F42-G42)/F42*100%</f>
        <v>0.925</v>
      </c>
      <c r="J42" s="786">
        <f>H42/(G42-1)*(F42-G42)</f>
        <v>28.12</v>
      </c>
      <c r="K42" s="792" t="s"/>
      <c r="L42" s="759" t="s"/>
      <c r="M42" s="759" t="s"/>
      <c r="N42" s="759" t="s"/>
      <c r="O42" s="759" t="s"/>
      <c r="P42" s="759" t="s"/>
      <c r="Q42" s="759" t="s"/>
      <c r="R42" s="759" t="s"/>
      <c r="S42" s="759" t="s"/>
      <c r="T42" s="759" t="s"/>
      <c r="U42" s="759" t="s"/>
      <c r="V42" s="759" t="s"/>
      <c r="W42" s="759" t="s"/>
    </row>
    <row r="43" spans="1:23" ht="37.5" customHeight="1">
      <c r="A43" s="679" t="s"/>
      <c r="B43" s="680" t="s"/>
      <c r="C43" s="711" t="s"/>
      <c r="D43" s="712" t="s"/>
      <c r="E43" s="758" t="s">
        <v>330</v>
      </c>
      <c r="F43" s="680" t="s"/>
      <c r="G43" s="758">
        <v>4</v>
      </c>
      <c r="H43" s="784">
        <v>2.28</v>
      </c>
      <c r="I43" s="785">
        <f>(F42-G43)/F42*100%</f>
        <v>0.9</v>
      </c>
      <c r="J43" s="786">
        <f>H43/(G43-1)*(F42-G43)</f>
        <v>27.36</v>
      </c>
      <c r="K43" s="680" t="s"/>
      <c r="L43" s="759" t="s"/>
      <c r="M43" s="759" t="s"/>
      <c r="N43" s="759" t="s"/>
      <c r="O43" s="759" t="s"/>
      <c r="P43" s="759" t="s"/>
      <c r="Q43" s="759" t="s"/>
      <c r="R43" s="759" t="s"/>
      <c r="S43" s="759" t="s"/>
      <c r="T43" s="759" t="s"/>
      <c r="U43" s="759" t="s"/>
      <c r="V43" s="759" t="s"/>
      <c r="W43" s="759" t="s"/>
    </row>
    <row r="44" spans="1:23" ht="37.5" customHeight="1">
      <c r="A44" s="679" t="s"/>
      <c r="B44" s="753">
        <v>2</v>
      </c>
      <c r="C44" s="782" t="s">
        <v>229</v>
      </c>
      <c r="D44" s="705" t="s"/>
      <c r="E44" s="758" t="s">
        <v>230</v>
      </c>
      <c r="F44" s="774">
        <v>10</v>
      </c>
      <c r="G44" s="774">
        <v>4</v>
      </c>
      <c r="H44" s="790">
        <v>2.08</v>
      </c>
      <c r="I44" s="785">
        <f>(F44-G44)/F44*100%</f>
        <v>0.6</v>
      </c>
      <c r="J44" s="786">
        <f>H44/(G44-1)*(F44-G44)</f>
        <v>4.16</v>
      </c>
      <c r="K44" s="758" t="s"/>
      <c r="L44" s="759" t="s"/>
      <c r="M44" s="759" t="s"/>
      <c r="N44" s="759" t="s"/>
      <c r="O44" s="759" t="s"/>
      <c r="P44" s="759" t="s"/>
      <c r="Q44" s="759" t="s"/>
      <c r="R44" s="759" t="s"/>
      <c r="S44" s="759" t="s"/>
      <c r="T44" s="759" t="s"/>
      <c r="U44" s="759" t="s"/>
      <c r="V44" s="759" t="s"/>
      <c r="W44" s="759" t="s"/>
    </row>
    <row r="45" spans="1:23" ht="37.5" customHeight="1">
      <c r="A45" s="791" t="s"/>
      <c r="B45" s="680" t="s"/>
      <c r="C45" s="711" t="s"/>
      <c r="D45" s="712" t="s"/>
      <c r="E45" s="758" t="s">
        <v>331</v>
      </c>
      <c r="F45" s="774">
        <v>10</v>
      </c>
      <c r="G45" s="774">
        <v>4</v>
      </c>
      <c r="H45" s="790">
        <v>1.68</v>
      </c>
      <c r="I45" s="785">
        <f>(F45-G45)/F45*100%</f>
        <v>0.6</v>
      </c>
      <c r="J45" s="786">
        <f>H45/(G45-1)*(F45-G45)</f>
        <v>3.36</v>
      </c>
      <c r="K45" s="758" t="s"/>
      <c r="L45" s="759" t="s"/>
      <c r="M45" s="759" t="s"/>
      <c r="N45" s="759" t="s"/>
      <c r="O45" s="759" t="s"/>
      <c r="P45" s="759" t="s"/>
      <c r="Q45" s="759" t="s"/>
      <c r="R45" s="759" t="s"/>
      <c r="S45" s="759" t="s"/>
      <c r="T45" s="759" t="s"/>
      <c r="U45" s="759" t="s"/>
      <c r="V45" s="759" t="s"/>
      <c r="W45" s="759" t="s"/>
    </row>
    <row r="46" spans="1:23" s="949" customFormat="1" ht="37.5" customHeight="1">
      <c r="A46" s="679" t="s"/>
      <c r="B46" s="776">
        <v>3</v>
      </c>
      <c r="C46" s="758" t="s">
        <v>332</v>
      </c>
      <c r="D46" s="683" t="s"/>
      <c r="E46" s="683" t="s"/>
      <c r="F46" s="758">
        <v>20</v>
      </c>
      <c r="G46" s="758">
        <v>6</v>
      </c>
      <c r="H46" s="784">
        <v>1.23</v>
      </c>
      <c r="I46" s="785">
        <f>(F46-G46)/F46*100%</f>
        <v>0.7</v>
      </c>
      <c r="J46" s="786">
        <f>H46/(G46-1)*(F46-G46)</f>
        <v>3.444</v>
      </c>
      <c r="K46" s="758" t="s"/>
      <c r="L46" s="766" t="s"/>
      <c r="M46" s="766" t="s"/>
      <c r="N46" s="766" t="s"/>
      <c r="O46" s="766" t="s"/>
      <c r="P46" s="766" t="s"/>
      <c r="Q46" s="766" t="s"/>
      <c r="R46" s="766" t="s"/>
      <c r="S46" s="766" t="s"/>
      <c r="T46" s="766" t="s"/>
      <c r="U46" s="766" t="s"/>
      <c r="V46" s="766" t="s"/>
      <c r="W46" s="766" t="s"/>
    </row>
    <row r="47" spans="1:23" ht="37.5" customHeight="1">
      <c r="A47" s="679" t="s"/>
      <c r="B47" s="776">
        <v>4</v>
      </c>
      <c r="C47" s="758" t="s">
        <v>333</v>
      </c>
      <c r="D47" s="683" t="s"/>
      <c r="E47" s="758" t="s">
        <v>197</v>
      </c>
      <c r="F47" s="774">
        <v>10</v>
      </c>
      <c r="G47" s="774">
        <v>5</v>
      </c>
      <c r="H47" s="790">
        <v>1.72</v>
      </c>
      <c r="I47" s="785">
        <f>(F47-G47)/F47*100%</f>
        <v>0.5</v>
      </c>
      <c r="J47" s="786">
        <f>H47/(G47-1)*(F47-G47)</f>
        <v>2.15</v>
      </c>
      <c r="K47" s="758" t="s"/>
      <c r="L47" s="759" t="s"/>
      <c r="M47" s="759" t="s"/>
      <c r="N47" s="759" t="s"/>
      <c r="O47" s="759" t="s"/>
      <c r="P47" s="759" t="s"/>
      <c r="Q47" s="759" t="s"/>
      <c r="R47" s="759" t="s"/>
      <c r="S47" s="759" t="s"/>
      <c r="T47" s="759" t="s"/>
      <c r="U47" s="759" t="s"/>
      <c r="V47" s="759" t="s"/>
      <c r="W47" s="759" t="s"/>
    </row>
    <row r="48" spans="1:23" ht="37.5" customHeight="1">
      <c r="A48" s="679" t="s"/>
      <c r="B48" s="798" t="s"/>
      <c r="C48" s="799" t="s"/>
      <c r="D48" s="799" t="s"/>
      <c r="E48" s="792" t="s">
        <v>49</v>
      </c>
      <c r="F48" s="797">
        <v>10</v>
      </c>
      <c r="G48" s="797">
        <v>5</v>
      </c>
      <c r="H48" s="800">
        <v>1.72</v>
      </c>
      <c r="I48" s="801" t="s"/>
      <c r="J48" s="802">
        <f>H48/(G48-1)*(F48-G48)</f>
        <v>2.15</v>
      </c>
      <c r="K48" s="792" t="s"/>
      <c r="L48" s="759" t="s"/>
      <c r="M48" s="759" t="s"/>
      <c r="N48" s="759" t="s"/>
      <c r="O48" s="759" t="s"/>
      <c r="P48" s="759" t="s"/>
      <c r="Q48" s="759" t="s"/>
      <c r="R48" s="759" t="s"/>
      <c r="S48" s="759" t="s"/>
      <c r="T48" s="759" t="s"/>
      <c r="U48" s="759" t="s"/>
      <c r="V48" s="759" t="s"/>
      <c r="W48" s="759" t="s"/>
    </row>
    <row r="49" spans="1:23" s="949" customFormat="1" ht="37.5" customHeight="1">
      <c r="A49" s="803" t="s">
        <v>334</v>
      </c>
      <c r="B49" s="776">
        <v>1</v>
      </c>
      <c r="C49" s="758" t="s">
        <v>270</v>
      </c>
      <c r="D49" s="683" t="s"/>
      <c r="E49" s="683" t="s"/>
      <c r="F49" s="774">
        <v>12</v>
      </c>
      <c r="G49" s="774">
        <v>4</v>
      </c>
      <c r="H49" s="790">
        <v>2.3</v>
      </c>
      <c r="I49" s="785">
        <f>(F49-G49)/F49*100%</f>
        <v>0.666666666666667</v>
      </c>
      <c r="J49" s="784">
        <f>H49/(G49-1)*(F49-G49)</f>
        <v>6.13333333333333</v>
      </c>
      <c r="K49" s="758" t="s"/>
      <c r="L49" s="766" t="s"/>
      <c r="M49" s="766" t="s"/>
      <c r="N49" s="766" t="s"/>
      <c r="O49" s="766" t="s"/>
      <c r="P49" s="766" t="s"/>
      <c r="Q49" s="766" t="s"/>
      <c r="R49" s="766" t="s"/>
      <c r="S49" s="766" t="s"/>
      <c r="T49" s="766" t="s"/>
      <c r="U49" s="766" t="s"/>
      <c r="V49" s="766" t="s"/>
      <c r="W49" s="766" t="s"/>
    </row>
    <row r="50" spans="1:23" ht="37.5" customHeight="1">
      <c r="A50" s="678" t="s"/>
      <c r="B50" s="776">
        <v>2</v>
      </c>
      <c r="C50" s="758" t="s">
        <v>294</v>
      </c>
      <c r="D50" s="683" t="s"/>
      <c r="E50" s="758" t="s">
        <v>295</v>
      </c>
      <c r="F50" s="774">
        <v>7</v>
      </c>
      <c r="G50" s="774">
        <v>3</v>
      </c>
      <c r="H50" s="790">
        <v>2.73</v>
      </c>
      <c r="I50" s="785">
        <f>(F50-G50)/F50*100%</f>
        <v>0.571428571428572</v>
      </c>
      <c r="J50" s="784">
        <f>H50/(G50-1)*(F50-G50)</f>
        <v>5.46</v>
      </c>
      <c r="K50" s="758" t="s"/>
      <c r="L50" s="759" t="s"/>
      <c r="M50" s="759" t="s"/>
      <c r="N50" s="759" t="s"/>
      <c r="O50" s="759" t="s"/>
      <c r="P50" s="759" t="s"/>
      <c r="Q50" s="759" t="s"/>
      <c r="R50" s="759" t="s"/>
      <c r="S50" s="759" t="s"/>
      <c r="T50" s="759" t="s"/>
      <c r="U50" s="759" t="s"/>
      <c r="V50" s="759" t="s"/>
      <c r="W50" s="759" t="s"/>
    </row>
    <row r="51" spans="1:23" ht="37.5" customHeight="1">
      <c r="A51" s="678" t="s"/>
      <c r="B51" s="697" t="s"/>
      <c r="C51" s="683" t="s"/>
      <c r="D51" s="683" t="s"/>
      <c r="E51" s="758" t="s">
        <v>49</v>
      </c>
      <c r="F51" s="774">
        <v>7</v>
      </c>
      <c r="G51" s="774">
        <v>3</v>
      </c>
      <c r="H51" s="790">
        <v>3.21</v>
      </c>
      <c r="I51" s="724" t="s"/>
      <c r="J51" s="784">
        <f>H51/(G51-1)*(F51-G51)</f>
        <v>6.42</v>
      </c>
      <c r="K51" s="758" t="s"/>
      <c r="L51" s="759" t="s"/>
      <c r="M51" s="759" t="s"/>
      <c r="N51" s="759" t="s"/>
      <c r="O51" s="759" t="s"/>
      <c r="P51" s="759" t="s"/>
      <c r="Q51" s="759" t="s"/>
      <c r="R51" s="759" t="s"/>
      <c r="S51" s="759" t="s"/>
      <c r="T51" s="759" t="s"/>
      <c r="U51" s="759" t="s"/>
      <c r="V51" s="759" t="s"/>
      <c r="W51" s="759" t="s"/>
    </row>
    <row r="52" spans="1:23" ht="37.5" customHeight="1">
      <c r="A52" s="678" t="s"/>
      <c r="B52" s="776">
        <v>3</v>
      </c>
      <c r="C52" s="758" t="s">
        <v>285</v>
      </c>
      <c r="D52" s="683" t="s"/>
      <c r="E52" s="683" t="s"/>
      <c r="F52" s="758">
        <v>4</v>
      </c>
      <c r="G52" s="758">
        <v>2</v>
      </c>
      <c r="H52" s="784">
        <v>2.15</v>
      </c>
      <c r="I52" s="785">
        <f>(F52-G52)/F52*100%</f>
        <v>0.5</v>
      </c>
      <c r="J52" s="784">
        <f>H52/(G52-1)*(F52-G52)</f>
        <v>4.3</v>
      </c>
      <c r="K52" s="758" t="s"/>
      <c r="L52" s="759" t="s"/>
      <c r="M52" s="759" t="s"/>
      <c r="N52" s="759" t="s"/>
      <c r="O52" s="759" t="s"/>
      <c r="P52" s="759" t="s"/>
      <c r="Q52" s="759" t="s"/>
      <c r="R52" s="759" t="s"/>
      <c r="S52" s="759" t="s"/>
      <c r="T52" s="759" t="s"/>
      <c r="U52" s="759" t="s"/>
      <c r="V52" s="759" t="s"/>
      <c r="W52" s="759" t="s"/>
    </row>
    <row r="53" spans="1:23" ht="37.5" customHeight="1">
      <c r="A53" s="678" t="s"/>
      <c r="B53" s="776">
        <v>4</v>
      </c>
      <c r="C53" s="758" t="s">
        <v>289</v>
      </c>
      <c r="D53" s="683" t="s"/>
      <c r="E53" s="683" t="s"/>
      <c r="F53" s="774">
        <v>6</v>
      </c>
      <c r="G53" s="774">
        <v>3</v>
      </c>
      <c r="H53" s="790">
        <v>2.62</v>
      </c>
      <c r="I53" s="785">
        <f>(F53-G53)/F53*100%</f>
        <v>0.5</v>
      </c>
      <c r="J53" s="784">
        <f>H53/(G53-1)*(F53-G53)</f>
        <v>3.93</v>
      </c>
      <c r="K53" s="758" t="s"/>
      <c r="L53" s="759" t="s"/>
      <c r="M53" s="759" t="s"/>
      <c r="N53" s="759" t="s"/>
      <c r="O53" s="759" t="s"/>
      <c r="P53" s="759" t="s"/>
      <c r="Q53" s="759" t="s"/>
      <c r="R53" s="759" t="s"/>
      <c r="S53" s="759" t="s"/>
      <c r="T53" s="759" t="s"/>
      <c r="U53" s="759" t="s"/>
      <c r="V53" s="759" t="s"/>
      <c r="W53" s="759" t="s"/>
    </row>
    <row r="54" spans="1:23" ht="37.5" customHeight="1">
      <c r="A54" s="678" t="s"/>
      <c r="B54" s="776">
        <v>5</v>
      </c>
      <c r="C54" s="758" t="s">
        <v>335</v>
      </c>
      <c r="D54" s="683" t="s"/>
      <c r="E54" s="774" t="s">
        <v>336</v>
      </c>
      <c r="F54" s="774">
        <v>9</v>
      </c>
      <c r="G54" s="758">
        <v>4</v>
      </c>
      <c r="H54" s="784">
        <v>2.55</v>
      </c>
      <c r="I54" s="785">
        <f>(F54-G54)/F54*100%</f>
        <v>0.555555555555556</v>
      </c>
      <c r="J54" s="784">
        <f>H54/(G54)*(F54-G54)</f>
        <v>3.1875</v>
      </c>
      <c r="K54" s="758" t="s"/>
      <c r="L54" s="759" t="s"/>
      <c r="M54" s="759" t="s"/>
      <c r="N54" s="759" t="s"/>
      <c r="O54" s="759" t="s"/>
      <c r="P54" s="759" t="s"/>
      <c r="Q54" s="759" t="s"/>
      <c r="R54" s="759" t="s"/>
      <c r="S54" s="759" t="s"/>
      <c r="T54" s="759" t="s"/>
      <c r="U54" s="759" t="s"/>
      <c r="V54" s="759" t="s"/>
      <c r="W54" s="759" t="s"/>
    </row>
    <row r="55" spans="1:23" ht="37.5" customHeight="1">
      <c r="A55" s="678" t="s"/>
      <c r="B55" s="798" t="s"/>
      <c r="C55" s="799" t="s"/>
      <c r="D55" s="799" t="s"/>
      <c r="E55" s="792" t="s">
        <v>49</v>
      </c>
      <c r="F55" s="797">
        <v>9</v>
      </c>
      <c r="G55" s="797">
        <v>2</v>
      </c>
      <c r="H55" s="790">
        <v>2.47</v>
      </c>
      <c r="I55" s="785">
        <v>0.77</v>
      </c>
      <c r="J55" s="784">
        <f>H55/(G55)*(F55-G55)</f>
        <v>8.645</v>
      </c>
      <c r="K55" s="758" t="s"/>
      <c r="L55" s="759" t="s"/>
      <c r="M55" s="759" t="s"/>
      <c r="N55" s="759" t="s"/>
      <c r="O55" s="759" t="s"/>
      <c r="P55" s="759" t="s"/>
      <c r="Q55" s="759" t="s"/>
      <c r="R55" s="759" t="s"/>
      <c r="S55" s="759" t="s"/>
      <c r="T55" s="759" t="s"/>
      <c r="U55" s="759" t="s"/>
      <c r="V55" s="759" t="s"/>
      <c r="W55" s="759" t="s"/>
    </row>
    <row r="56" spans="1:23" ht="37.5" customHeight="1">
      <c r="A56" s="804" t="s"/>
      <c r="B56" s="776">
        <v>6</v>
      </c>
      <c r="C56" s="758" t="s">
        <v>337</v>
      </c>
      <c r="D56" s="683" t="s"/>
      <c r="E56" s="774" t="s">
        <v>336</v>
      </c>
      <c r="F56" s="774">
        <v>9</v>
      </c>
      <c r="G56" s="758">
        <v>5</v>
      </c>
      <c r="H56" s="805">
        <v>3.31</v>
      </c>
      <c r="I56" s="785">
        <f>(F56-G56)/F56*100%</f>
        <v>0.444444444444445</v>
      </c>
      <c r="J56" s="784">
        <f>H56/(G56)*(F56-G56)</f>
        <v>2.648</v>
      </c>
      <c r="K56" s="758" t="s"/>
      <c r="L56" s="759" t="s"/>
      <c r="M56" s="759" t="s"/>
      <c r="N56" s="759" t="s"/>
      <c r="O56" s="759" t="s"/>
      <c r="P56" s="759" t="s"/>
      <c r="Q56" s="759" t="s"/>
      <c r="R56" s="759" t="s"/>
      <c r="S56" s="759" t="s"/>
      <c r="T56" s="759" t="s"/>
      <c r="U56" s="759" t="s"/>
      <c r="V56" s="759" t="s"/>
      <c r="W56" s="759" t="s"/>
    </row>
    <row r="57" spans="1:23" ht="37.5" customHeight="1">
      <c r="A57" s="804" t="s"/>
      <c r="B57" s="697" t="s"/>
      <c r="C57" s="683" t="s"/>
      <c r="D57" s="683" t="s"/>
      <c r="E57" s="758" t="s">
        <v>49</v>
      </c>
      <c r="F57" s="774">
        <v>9</v>
      </c>
      <c r="G57" s="774">
        <v>3</v>
      </c>
      <c r="H57" s="806">
        <v>4.1</v>
      </c>
      <c r="I57" s="785">
        <v>0.66</v>
      </c>
      <c r="J57" s="784">
        <f>H57/(G57)*(F57-G57)</f>
        <v>8.2</v>
      </c>
      <c r="K57" s="758" t="s"/>
      <c r="L57" s="759" t="s"/>
      <c r="M57" s="759" t="s"/>
      <c r="N57" s="759" t="s"/>
      <c r="O57" s="759" t="s"/>
      <c r="P57" s="759" t="s"/>
      <c r="Q57" s="759" t="s"/>
      <c r="R57" s="759" t="s"/>
      <c r="S57" s="759" t="s"/>
      <c r="T57" s="759" t="s"/>
      <c r="U57" s="759" t="s"/>
      <c r="V57" s="759" t="s"/>
      <c r="W57" s="759" t="s"/>
    </row>
    <row r="58" spans="1:23" ht="37.5" customHeight="1">
      <c r="A58" s="804" t="s"/>
      <c r="B58" s="776">
        <v>7</v>
      </c>
      <c r="C58" s="758" t="s">
        <v>182</v>
      </c>
      <c r="D58" s="678" t="s"/>
      <c r="E58" s="758" t="s">
        <v>183</v>
      </c>
      <c r="F58" s="758">
        <v>8</v>
      </c>
      <c r="G58" s="758">
        <v>4</v>
      </c>
      <c r="H58" s="805">
        <v>1.08</v>
      </c>
      <c r="I58" s="785">
        <f>(F58-G58)/F58*100%</f>
        <v>0.5</v>
      </c>
      <c r="J58" s="784">
        <f>H58/(G58-1)*(F58-G58)</f>
        <v>1.44</v>
      </c>
      <c r="K58" s="758" t="s"/>
      <c r="L58" s="759" t="s"/>
      <c r="M58" s="759" t="s"/>
      <c r="N58" s="759" t="s"/>
      <c r="O58" s="759" t="s"/>
      <c r="P58" s="759" t="s"/>
      <c r="Q58" s="759" t="s"/>
      <c r="R58" s="759" t="s"/>
      <c r="S58" s="759" t="s"/>
      <c r="T58" s="759" t="s"/>
      <c r="U58" s="759" t="s"/>
      <c r="V58" s="759" t="s"/>
      <c r="W58" s="759" t="s"/>
    </row>
    <row r="59" spans="1:23" ht="37.5" customHeight="1">
      <c r="A59" s="804" t="s"/>
      <c r="B59" s="678" t="s"/>
      <c r="C59" s="678" t="s"/>
      <c r="D59" s="678" t="s"/>
      <c r="E59" s="758" t="s">
        <v>56</v>
      </c>
      <c r="F59" s="758">
        <v>10</v>
      </c>
      <c r="G59" s="758">
        <v>4</v>
      </c>
      <c r="H59" s="805">
        <v>1.08</v>
      </c>
      <c r="I59" s="785">
        <f>(F59-G59)/F59*100%</f>
        <v>0.6</v>
      </c>
      <c r="J59" s="784">
        <f>H59/(G59-1)*(F59-G59)</f>
        <v>2.16</v>
      </c>
      <c r="K59" s="758" t="s"/>
      <c r="L59" s="759" t="s"/>
      <c r="M59" s="759" t="s"/>
      <c r="N59" s="759" t="s"/>
      <c r="O59" s="759" t="s"/>
      <c r="P59" s="759" t="s"/>
      <c r="Q59" s="759" t="s"/>
      <c r="R59" s="759" t="s"/>
      <c r="S59" s="759" t="s"/>
      <c r="T59" s="759" t="s"/>
      <c r="U59" s="759" t="s"/>
      <c r="V59" s="759" t="s"/>
      <c r="W59" s="759" t="s"/>
    </row>
    <row r="60" spans="3:9">
      <c r="C60" s="759" t="s"/>
      <c r="D60" s="759" t="s"/>
      <c r="E60" s="759" t="s"/>
      <c r="F60" s="759" t="s"/>
      <c r="G60" s="759" t="s"/>
      <c r="H60" s="759" t="s"/>
      <c r="I60" s="807" t="s"/>
    </row>
    <row r="61" spans="3:9">
      <c r="C61" s="759" t="s"/>
      <c r="D61" s="759" t="s"/>
      <c r="E61" s="759" t="s"/>
      <c r="F61" s="759" t="s"/>
      <c r="G61" s="759" t="s"/>
      <c r="H61" s="759" t="s"/>
      <c r="I61" s="807" t="s"/>
    </row>
    <row r="62" spans="3:9">
      <c r="C62" s="759" t="s"/>
      <c r="D62" s="759" t="s"/>
      <c r="E62" s="759" t="s"/>
      <c r="F62" s="759" t="s"/>
      <c r="G62" s="759" t="s"/>
      <c r="H62" s="759" t="s"/>
      <c r="I62" s="807" t="s"/>
    </row>
    <row r="63" spans="3:9">
      <c r="C63" s="759" t="s"/>
      <c r="D63" s="759" t="s"/>
      <c r="E63" s="759" t="s"/>
      <c r="F63" s="759" t="s"/>
      <c r="G63" s="759" t="s"/>
      <c r="H63" s="759" t="s"/>
      <c r="I63" s="807" t="s"/>
    </row>
    <row r="64" spans="3:9">
      <c r="C64" s="759" t="s"/>
      <c r="D64" s="759" t="s"/>
      <c r="E64" s="759" t="s"/>
      <c r="F64" s="759" t="s"/>
      <c r="G64" s="759" t="s"/>
      <c r="H64" s="759" t="s"/>
      <c r="I64" s="807" t="s"/>
    </row>
    <row r="65" spans="3:9">
      <c r="C65" s="759" t="s"/>
      <c r="D65" s="759" t="s"/>
      <c r="E65" s="759" t="s"/>
      <c r="F65" s="759" t="s"/>
      <c r="G65" s="759" t="s"/>
      <c r="H65" s="759" t="s"/>
      <c r="I65" s="807" t="s"/>
    </row>
    <row r="66" spans="3:9">
      <c r="C66" s="759" t="s"/>
      <c r="D66" s="759" t="s"/>
      <c r="E66" s="759" t="s"/>
      <c r="F66" s="759" t="s"/>
      <c r="G66" s="759" t="s"/>
      <c r="H66" s="759" t="s"/>
      <c r="I66" s="807" t="s"/>
    </row>
    <row r="67" spans="3:9">
      <c r="C67" s="759" t="s"/>
      <c r="D67" s="759" t="s"/>
      <c r="E67" s="759" t="s"/>
      <c r="F67" s="759" t="s"/>
      <c r="G67" s="759" t="s"/>
      <c r="H67" s="759" t="s"/>
      <c r="I67" s="807" t="s"/>
    </row>
    <row r="68" spans="3:9">
      <c r="C68" s="759" t="s"/>
      <c r="D68" s="759" t="s"/>
      <c r="E68" s="759" t="s"/>
      <c r="F68" s="759" t="s"/>
      <c r="G68" s="759" t="s"/>
      <c r="H68" s="759" t="s"/>
      <c r="I68" s="807" t="s"/>
    </row>
    <row r="71" spans="1:26" ht="37.5" customHeight="1"/>
    <row r="72" spans="1:26" ht="37.5" customHeight="1"/>
    <row r="73" spans="1:26" ht="37.5" customHeight="1"/>
    <row r="74" spans="1:26" ht="37.5" customHeight="1"/>
    <row r="75" spans="1:26" ht="37.5" customHeight="1"/>
    <row r="76" spans="1:26" ht="37.5" customHeight="1"/>
    <row r="77" spans="1:26" ht="37.5" customHeight="1"/>
    <row r="78" spans="1:26" ht="37.5" customHeight="1"/>
    <row r="79" spans="1:26" ht="37.5" customHeight="1"/>
    <row r="80" spans="1:26" ht="37.5" customHeight="1"/>
    <row r="81" spans="1:26" ht="37.5" customHeight="1"/>
    <row r="82" spans="1:26" ht="37.5" customHeight="1"/>
    <row r="83" spans="1:26" ht="37.5" customHeight="1"/>
    <row r="84" spans="1:26" ht="37.5" customHeight="1"/>
    <row r="85" spans="1:26" ht="37.5" customHeight="1"/>
    <row r="86" spans="1:26" ht="37.5" customHeight="1"/>
    <row r="87" spans="1:26" ht="37.5" customHeight="1"/>
    <row r="88" spans="1:26" ht="37.5" customHeight="1"/>
    <row r="89" spans="1:26" ht="37.5" customHeight="1"/>
    <row r="90" spans="1:26" ht="37.5" customHeight="1"/>
    <row r="91" spans="1:26" ht="37.5" customHeight="1"/>
    <row r="92" spans="1:26" ht="37.5" customHeight="1"/>
    <row r="93" spans="1:26" ht="37.5" customHeight="1"/>
    <row r="94" spans="1:26" ht="37.5" customHeight="1"/>
    <row r="95" spans="1:26" ht="37.5" customHeight="1"/>
    <row r="96" spans="1:26" ht="37.5" customHeight="1"/>
    <row r="97" spans="1:26" ht="37.5" customHeight="1"/>
    <row r="98" spans="1:26" ht="37.5" customHeight="1"/>
    <row r="99" spans="1:26" ht="37.5" customHeight="1"/>
    <row r="100" spans="1:26" ht="37.5" customHeight="1"/>
    <row r="101" spans="1:26" ht="37.5" customHeight="1"/>
    <row r="102" spans="1:26" ht="37.5" customHeight="1"/>
    <row r="103" spans="1:26" ht="37.5" customHeight="1"/>
    <row r="104" spans="1:26" ht="37.5" customHeight="1"/>
    <row r="105" spans="1:26" ht="37.5" customHeight="1"/>
    <row r="106" spans="1:26" ht="37.5" customHeight="1"/>
    <row r="107" spans="1:26" ht="37.5" customHeight="1"/>
    <row r="108" spans="1:26" ht="37.5" customHeight="1"/>
    <row r="109" spans="1:26" ht="37.5" customHeight="1"/>
    <row r="110" spans="1:26" ht="37.5" customHeight="1"/>
    <row r="111" spans="1:26" ht="37.5" customHeight="1"/>
    <row r="112" spans="1:26" ht="37.5" customHeight="1"/>
    <row r="113" spans="1:26" ht="37.5" customHeight="1"/>
    <row r="114" spans="1:26" ht="37.5" customHeight="1"/>
    <row r="115" spans="1:26" ht="37.5" customHeight="1"/>
    <row r="116" spans="1:26" ht="37.5" customHeight="1"/>
    <row r="117" spans="1:26" ht="37.5" customHeight="1"/>
    <row r="118" spans="1:26" ht="37.5" customHeight="1"/>
    <row r="119" spans="1:26" ht="37.5" customHeight="1"/>
    <row r="120" spans="1:26" ht="37.5" customHeight="1"/>
    <row r="121" spans="1:26" ht="37.5" customHeight="1"/>
    <row r="122" spans="1:26" ht="37.5" customHeight="1"/>
    <row r="123" spans="1:26" ht="37.5" customHeight="1"/>
    <row r="124" spans="1:26" ht="37.5" customHeight="1"/>
    <row r="125" spans="1:26" ht="37.5" customHeight="1"/>
    <row r="126" spans="1:26" ht="37.5" customHeight="1"/>
    <row r="127" spans="1:26" ht="37.5" customHeight="1"/>
    <row r="128" spans="1:26" ht="37.5" customHeight="1"/>
    <row r="129" spans="1:26" ht="37.5" customHeight="1"/>
    <row r="130" spans="1:26" ht="37.5" customHeight="1"/>
    <row r="131" spans="1:26" ht="37.5" customHeight="1"/>
    <row r="132" spans="1:26" ht="37.5" customHeight="1"/>
    <row r="133" spans="1:26" ht="37.5" customHeight="1"/>
    <row r="134" spans="1:26" ht="37.5" customHeight="1"/>
    <row r="135" spans="1:26" ht="37.5" customHeight="1"/>
    <row r="136" spans="1:26" ht="37.5" customHeight="1"/>
    <row r="137" spans="1:26" ht="37.5" customHeight="1"/>
    <row r="138" spans="1:26" ht="37.5" customHeight="1"/>
    <row r="139" spans="1:26" ht="37.5" customHeight="1"/>
    <row r="140" spans="1:26" ht="37.5" customHeight="1"/>
    <row r="141" spans="1:26" ht="37.5" customHeight="1"/>
    <row r="142" spans="1:26" ht="37.5" customHeight="1"/>
    <row r="143" spans="1:26" ht="37.5" customHeight="1"/>
    <row r="144" spans="1:26" ht="37.5" customHeight="1"/>
    <row r="145" spans="1:26" ht="37.5" customHeight="1"/>
    <row r="146" spans="1:26" ht="37.5" customHeight="1"/>
    <row r="147" spans="1:26" ht="37.5" customHeight="1"/>
    <row r="148" spans="1:26" ht="37.5" customHeight="1"/>
    <row r="149" spans="1:26" ht="37.5" customHeight="1"/>
    <row r="150" spans="1:26" ht="37.5" customHeight="1"/>
    <row r="151" spans="1:26" ht="37.5" customHeight="1"/>
    <row r="152" spans="1:26" ht="37.5" customHeight="1"/>
    <row r="153" spans="1:26" ht="37.5" customHeight="1"/>
    <row r="154" spans="1:26" ht="37.5" customHeight="1"/>
    <row r="155" spans="1:26" ht="37.5" customHeight="1"/>
    <row r="156" spans="1:26" ht="37.5" customHeight="1"/>
    <row r="157" spans="1:26" ht="37.5" customHeight="1"/>
    <row r="158" spans="1:26" ht="37.5" customHeight="1"/>
    <row r="159" spans="1:26" ht="37.5" customHeight="1"/>
    <row r="160" spans="1:26" ht="37.5" customHeight="1"/>
    <row r="161" spans="1:26" ht="37.5" customHeight="1"/>
    <row r="162" spans="1:26" ht="37.5" customHeight="1"/>
    <row r="163" spans="1:26" ht="37.5" customHeight="1"/>
    <row r="164" spans="1:26" ht="37.5" customHeight="1"/>
    <row r="165" spans="1:26" ht="37.5" customHeight="1"/>
    <row r="166" spans="1:26" ht="37.5" customHeight="1"/>
    <row r="167" spans="1:26" ht="37.5" customHeight="1"/>
    <row r="168" spans="1:26" ht="37.5" customHeight="1"/>
    <row r="169" spans="1:26" ht="37.5" customHeight="1"/>
    <row r="170" spans="1:26" ht="37.5" customHeight="1"/>
    <row r="171" spans="1:26" ht="37.5" customHeight="1"/>
    <row r="172" spans="1:26" ht="37.5" customHeight="1"/>
    <row r="173" spans="1:26" ht="37.5" customHeight="1"/>
    <row r="174" spans="1:26" ht="37.5" customHeight="1"/>
    <row r="175" spans="1:26" ht="37.5" customHeight="1"/>
    <row r="176" spans="1:26" ht="37.5" customHeight="1"/>
    <row r="177" spans="1:26" ht="37.5" customHeight="1"/>
    <row r="178" spans="1:26" ht="37.5" customHeight="1"/>
    <row r="179" spans="1:26" ht="37.5" customHeight="1"/>
    <row r="180" spans="1:26" ht="37.5" customHeight="1"/>
    <row r="181" spans="1:26" ht="37.5" customHeight="1"/>
    <row r="182" spans="1:26" ht="37.5" customHeight="1"/>
    <row r="183" spans="1:26" ht="37.5" customHeight="1"/>
    <row r="184" spans="1:26" ht="37.5" customHeight="1"/>
    <row r="185" spans="1:26" ht="37.5" customHeight="1"/>
    <row r="186" spans="1:26" ht="37.5" customHeight="1"/>
    <row r="187" spans="1:26" ht="37.5" customHeight="1"/>
    <row r="188" spans="1:26" ht="37.5" customHeight="1"/>
    <row r="189" spans="1:26" ht="37.5" customHeight="1"/>
    <row r="190" spans="1:26" ht="37.5" customHeight="1"/>
    <row r="191" spans="1:26" ht="37.5" customHeight="1"/>
    <row r="192" spans="1:26" ht="37.5" customHeight="1"/>
    <row r="193" spans="1:26" ht="37.5" customHeight="1"/>
    <row r="194" spans="1:26" ht="37.5" customHeight="1"/>
    <row r="195" spans="1:26" ht="37.5" customHeight="1"/>
    <row r="196" spans="1:26" ht="37.5" customHeight="1"/>
    <row r="197" spans="1:26" ht="37.5" customHeight="1"/>
    <row r="198" spans="1:26" ht="37.5" customHeight="1"/>
  </sheetData>
  <mergeCells count="81">
    <mergeCell ref="A1:K1"/>
    <mergeCell ref="A2:K2"/>
    <mergeCell ref="C13:E13"/>
    <mergeCell ref="C14:E14"/>
    <mergeCell ref="C15:E15"/>
    <mergeCell ref="C16:E16"/>
    <mergeCell ref="C19:E19"/>
    <mergeCell ref="C20:E20"/>
    <mergeCell ref="C23:E23"/>
    <mergeCell ref="C24:E24"/>
    <mergeCell ref="C29:E29"/>
    <mergeCell ref="C30:E30"/>
    <mergeCell ref="C33:D33"/>
    <mergeCell ref="C40:D40"/>
    <mergeCell ref="C46:E46"/>
    <mergeCell ref="C49:E49"/>
    <mergeCell ref="C52:E52"/>
    <mergeCell ref="C53:E53"/>
    <mergeCell ref="A3:A4"/>
    <mergeCell ref="A5:A15"/>
    <mergeCell ref="A17:A23"/>
    <mergeCell ref="A24:A32"/>
    <mergeCell ref="A33:A41"/>
    <mergeCell ref="A42:A48"/>
    <mergeCell ref="A49:A59"/>
    <mergeCell ref="B3:B4"/>
    <mergeCell ref="B5:B6"/>
    <mergeCell ref="B7:B8"/>
    <mergeCell ref="B9:B10"/>
    <mergeCell ref="B11:B12"/>
    <mergeCell ref="B17:B18"/>
    <mergeCell ref="B21:B22"/>
    <mergeCell ref="B25:B26"/>
    <mergeCell ref="B27:B28"/>
    <mergeCell ref="B29:B30"/>
    <mergeCell ref="B31:B32"/>
    <mergeCell ref="B34:B35"/>
    <mergeCell ref="B36:B37"/>
    <mergeCell ref="B38:B39"/>
    <mergeCell ref="B40:B41"/>
    <mergeCell ref="B42:B43"/>
    <mergeCell ref="B44:B45"/>
    <mergeCell ref="B47:B48"/>
    <mergeCell ref="B50:B51"/>
    <mergeCell ref="B54:B55"/>
    <mergeCell ref="B56:B57"/>
    <mergeCell ref="B58:B59"/>
    <mergeCell ref="C36:C37"/>
    <mergeCell ref="C38:C39"/>
    <mergeCell ref="F3:F4"/>
    <mergeCell ref="F42:F43"/>
    <mergeCell ref="G3:G4"/>
    <mergeCell ref="H3:H4"/>
    <mergeCell ref="I3:I4"/>
    <mergeCell ref="I17:I18"/>
    <mergeCell ref="I21:I22"/>
    <mergeCell ref="I25:I26"/>
    <mergeCell ref="I31:I32"/>
    <mergeCell ref="I47:I48"/>
    <mergeCell ref="I50:I51"/>
    <mergeCell ref="J3:J4"/>
    <mergeCell ref="K3:K4"/>
    <mergeCell ref="K42:K43"/>
    <mergeCell ref="C3:E4"/>
    <mergeCell ref="C21:D22"/>
    <mergeCell ref="C31:D32"/>
    <mergeCell ref="C25:D26"/>
    <mergeCell ref="C47:D48"/>
    <mergeCell ref="C50:D51"/>
    <mergeCell ref="C54:D55"/>
    <mergeCell ref="C56:D57"/>
    <mergeCell ref="C42:D43"/>
    <mergeCell ref="C27:D28"/>
    <mergeCell ref="C34:D35"/>
    <mergeCell ref="C44:D45"/>
    <mergeCell ref="C58:D59"/>
    <mergeCell ref="C5:D6"/>
    <mergeCell ref="C17:E18"/>
    <mergeCell ref="C7:D8"/>
    <mergeCell ref="C9:D10"/>
    <mergeCell ref="C11:D1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>
  <sheetPr/>
  <dimension ref="W46"/>
  <sheetViews>
    <sheetView showGridLines="1" zoomScale="85" zoomScaleNormal="85" workbookViewId="0"/>
  </sheetViews>
  <sheetFormatPr defaultColWidth="9" defaultRowHeight="16.5"/>
  <cols>
    <col min="1" max="1" width="13.5667" style="952" customWidth="1"/>
    <col min="2" max="2" width="11.125" style="952" customWidth="1"/>
    <col min="3" max="3" width="6.10833" style="952" customWidth="1"/>
    <col min="4" max="4" width="9.65833" style="952" customWidth="1"/>
    <col min="5" max="6" width="13.45" style="952" customWidth="1"/>
    <col min="7" max="7" width="15" style="952" customWidth="1"/>
    <col min="8" max="8" width="15.1583" style="952" customWidth="1"/>
    <col min="9" max="9" width="24.9167" style="952" customWidth="1"/>
    <col min="10" max="23" width="8.66667" style="952"/>
  </cols>
  <sheetData>
    <row r="1" spans="1:9" ht="70.5" customHeight="1">
      <c r="A1" s="808" t="s">
        <v>659</v>
      </c>
      <c r="B1" s="809" t="s"/>
      <c r="C1" s="809" t="s"/>
      <c r="D1" s="809" t="s"/>
      <c r="E1" s="809" t="s"/>
      <c r="F1" s="809" t="s"/>
      <c r="G1" s="809" t="s"/>
      <c r="H1" s="809" t="s"/>
      <c r="I1" s="809" t="s"/>
    </row>
    <row r="2" spans="1:9" ht="33.75" customHeight="1">
      <c r="A2" s="810" t="s">
        <v>338</v>
      </c>
      <c r="B2" s="717" t="s"/>
      <c r="C2" s="717" t="s"/>
      <c r="D2" s="717" t="s"/>
      <c r="E2" s="717" t="s"/>
      <c r="F2" s="717" t="s"/>
      <c r="G2" s="717" t="s"/>
      <c r="H2" s="718" t="s"/>
      <c r="I2" s="811" t="s"/>
    </row>
    <row r="3" spans="1:9" ht="33.75" customHeight="1">
      <c r="A3" s="812" t="s">
        <v>339</v>
      </c>
      <c r="B3" s="812" t="s">
        <v>306</v>
      </c>
      <c r="C3" s="678" t="s"/>
      <c r="D3" s="678" t="s"/>
      <c r="E3" s="813" t="s">
        <v>340</v>
      </c>
      <c r="F3" s="814" t="s">
        <v>341</v>
      </c>
      <c r="G3" s="814" t="s">
        <v>342</v>
      </c>
      <c r="H3" s="678" t="s"/>
      <c r="I3" s="815" t="s">
        <v>309</v>
      </c>
    </row>
    <row r="4" spans="1:9" ht="59.25" customHeight="1">
      <c r="A4" s="678" t="s"/>
      <c r="B4" s="678" t="s"/>
      <c r="C4" s="678" t="s"/>
      <c r="D4" s="678" t="s"/>
      <c r="E4" s="816" t="s">
        <v>660</v>
      </c>
      <c r="F4" s="817" t="s">
        <v>661</v>
      </c>
      <c r="G4" s="817" t="s">
        <v>662</v>
      </c>
      <c r="H4" s="817" t="s">
        <v>663</v>
      </c>
      <c r="I4" s="678" t="s"/>
    </row>
    <row r="5" spans="1:9" ht="30" customHeight="1">
      <c r="A5" s="818" t="s">
        <v>310</v>
      </c>
      <c r="B5" s="819" t="s">
        <v>172</v>
      </c>
      <c r="C5" s="683" t="s"/>
      <c r="D5" s="683" t="s"/>
      <c r="E5" s="820" t="s">
        <v>124</v>
      </c>
      <c r="F5" s="820" t="s">
        <v>343</v>
      </c>
      <c r="G5" s="821">
        <v>0.87</v>
      </c>
      <c r="H5" s="821">
        <v>0.87</v>
      </c>
      <c r="I5" s="819" t="s"/>
    </row>
    <row r="6" spans="1:9" ht="30" customHeight="1">
      <c r="A6" s="678" t="s"/>
      <c r="B6" s="682" t="s">
        <v>344</v>
      </c>
      <c r="C6" s="683" t="s"/>
      <c r="D6" s="683" t="s"/>
      <c r="E6" s="713" t="s">
        <v>179</v>
      </c>
      <c r="F6" s="713" t="s">
        <v>345</v>
      </c>
      <c r="G6" s="822">
        <v>0.87</v>
      </c>
      <c r="H6" s="821">
        <v>0.87</v>
      </c>
      <c r="I6" s="819" t="s"/>
    </row>
    <row r="7" spans="1:9" ht="30" customHeight="1">
      <c r="A7" s="678" t="s"/>
      <c r="B7" s="682" t="s">
        <v>154</v>
      </c>
      <c r="C7" s="823" t="s"/>
      <c r="D7" s="823" t="s"/>
      <c r="E7" s="713" t="s">
        <v>346</v>
      </c>
      <c r="F7" s="713" t="s">
        <v>347</v>
      </c>
      <c r="G7" s="824">
        <v>0.87</v>
      </c>
      <c r="H7" s="825">
        <v>0.652</v>
      </c>
      <c r="I7" s="826" t="s"/>
    </row>
    <row r="8" spans="1:9" ht="30" customHeight="1">
      <c r="A8" s="678" t="s"/>
      <c r="B8" s="682" t="s">
        <v>117</v>
      </c>
      <c r="C8" s="690" t="s"/>
      <c r="D8" s="690" t="s"/>
      <c r="E8" s="713" t="s">
        <v>348</v>
      </c>
      <c r="F8" s="682" t="s"/>
      <c r="G8" s="822">
        <v>0.87</v>
      </c>
      <c r="H8" s="821">
        <v>0.652</v>
      </c>
      <c r="I8" s="826" t="s"/>
    </row>
    <row r="9" spans="1:9" ht="30" customHeight="1">
      <c r="A9" s="678" t="s"/>
      <c r="B9" s="682" t="s">
        <v>70</v>
      </c>
      <c r="C9" s="690" t="s"/>
      <c r="D9" s="690" t="s"/>
      <c r="E9" s="713" t="s">
        <v>348</v>
      </c>
      <c r="F9" s="713" t="s">
        <v>349</v>
      </c>
      <c r="G9" s="822">
        <v>0.87</v>
      </c>
      <c r="H9" s="821">
        <v>0.652</v>
      </c>
      <c r="I9" s="819" t="s"/>
    </row>
    <row r="10" spans="1:9" ht="30" customHeight="1">
      <c r="A10" s="678" t="s"/>
      <c r="B10" s="682" t="s">
        <v>135</v>
      </c>
      <c r="C10" s="683" t="s"/>
      <c r="D10" s="683" t="s"/>
      <c r="E10" s="713" t="s">
        <v>100</v>
      </c>
      <c r="F10" s="713" t="s">
        <v>350</v>
      </c>
      <c r="G10" s="822">
        <v>0.87</v>
      </c>
      <c r="H10" s="821">
        <v>0.652</v>
      </c>
      <c r="I10" s="819" t="s"/>
    </row>
    <row r="11" spans="1:9" ht="30" customHeight="1">
      <c r="A11" s="678" t="s"/>
      <c r="B11" s="682" t="s">
        <v>177</v>
      </c>
      <c r="C11" s="678" t="s"/>
      <c r="D11" s="682" t="s">
        <v>183</v>
      </c>
      <c r="E11" s="713" t="s">
        <v>142</v>
      </c>
      <c r="F11" s="713" t="s">
        <v>351</v>
      </c>
      <c r="G11" s="827">
        <v>0.87</v>
      </c>
      <c r="H11" s="828">
        <v>0.652</v>
      </c>
      <c r="I11" s="819" t="s"/>
    </row>
    <row r="12" spans="1:9" ht="30" customHeight="1">
      <c r="A12" s="678" t="s"/>
      <c r="B12" s="678" t="s"/>
      <c r="C12" s="678" t="s"/>
      <c r="D12" s="682" t="s">
        <v>56</v>
      </c>
      <c r="E12" s="713" t="s">
        <v>141</v>
      </c>
      <c r="F12" s="713" t="s">
        <v>352</v>
      </c>
      <c r="G12" s="680" t="s"/>
      <c r="H12" s="680" t="s"/>
      <c r="I12" s="819" t="s"/>
    </row>
    <row r="13" spans="1:9" ht="30" customHeight="1">
      <c r="A13" s="818" t="s">
        <v>323</v>
      </c>
      <c r="B13" s="704" t="s">
        <v>353</v>
      </c>
      <c r="C13" s="705" t="s"/>
      <c r="D13" s="682" t="s">
        <v>183</v>
      </c>
      <c r="E13" s="713" t="s">
        <v>354</v>
      </c>
      <c r="F13" s="713" t="s">
        <v>355</v>
      </c>
      <c r="G13" s="822">
        <v>0.87</v>
      </c>
      <c r="H13" s="821">
        <v>0.87</v>
      </c>
      <c r="I13" s="826" t="s"/>
    </row>
    <row r="14" spans="1:9" ht="30" customHeight="1">
      <c r="A14" s="697" t="s"/>
      <c r="B14" s="711" t="s"/>
      <c r="C14" s="712" t="s"/>
      <c r="D14" s="682" t="s">
        <v>56</v>
      </c>
      <c r="E14" s="713" t="s">
        <v>356</v>
      </c>
      <c r="F14" s="713" t="s">
        <v>357</v>
      </c>
      <c r="G14" s="822">
        <v>0.87</v>
      </c>
      <c r="H14" s="821">
        <v>0.87</v>
      </c>
      <c r="I14" s="826" t="s"/>
    </row>
    <row r="15" spans="1:9" ht="30" customHeight="1">
      <c r="A15" s="697" t="s"/>
      <c r="B15" s="758" t="s">
        <v>88</v>
      </c>
      <c r="C15" s="678" t="s"/>
      <c r="D15" s="758" t="s">
        <v>183</v>
      </c>
      <c r="E15" s="820" t="s">
        <v>100</v>
      </c>
      <c r="F15" s="820" t="s">
        <v>358</v>
      </c>
      <c r="G15" s="829">
        <v>0.87</v>
      </c>
      <c r="H15" s="821">
        <v>0.782</v>
      </c>
      <c r="I15" s="819" t="s"/>
    </row>
    <row r="16" spans="1:9" ht="30" hidden="1" customHeight="1">
      <c r="A16" s="697" t="s"/>
      <c r="B16" s="678" t="s"/>
      <c r="C16" s="678" t="s"/>
      <c r="D16" s="830" t="s">
        <v>56</v>
      </c>
      <c r="E16" s="831" t="s">
        <v>359</v>
      </c>
      <c r="F16" s="831" t="s">
        <v>360</v>
      </c>
      <c r="G16" s="678" t="s"/>
      <c r="H16" s="678" t="s"/>
      <c r="I16" s="819" t="s"/>
    </row>
    <row r="17" spans="1:9" ht="30" customHeight="1">
      <c r="A17" s="697" t="s"/>
      <c r="B17" s="782" t="s">
        <v>226</v>
      </c>
      <c r="C17" s="705" t="s"/>
      <c r="D17" s="758" t="s">
        <v>183</v>
      </c>
      <c r="E17" s="832" t="s">
        <v>45</v>
      </c>
      <c r="F17" s="820" t="s">
        <v>361</v>
      </c>
      <c r="G17" s="833">
        <v>0.87</v>
      </c>
      <c r="H17" s="828">
        <v>0.782</v>
      </c>
      <c r="I17" s="834" t="s"/>
    </row>
    <row r="18" spans="1:9" ht="30" customHeight="1">
      <c r="A18" s="697" t="s"/>
      <c r="B18" s="835" t="s"/>
      <c r="C18" s="836" t="s"/>
      <c r="D18" s="682" t="s">
        <v>362</v>
      </c>
      <c r="E18" s="837" t="s">
        <v>45</v>
      </c>
      <c r="F18" s="713" t="s">
        <v>363</v>
      </c>
      <c r="G18" s="838" t="s"/>
      <c r="H18" s="839" t="s"/>
      <c r="I18" s="834" t="s"/>
    </row>
    <row r="19" spans="1:9" ht="30" hidden="1" customHeight="1">
      <c r="A19" s="697" t="s"/>
      <c r="B19" s="711" t="s"/>
      <c r="C19" s="712" t="s"/>
      <c r="D19" s="758" t="s">
        <v>56</v>
      </c>
      <c r="E19" s="832" t="s">
        <v>364</v>
      </c>
      <c r="F19" s="820" t="s">
        <v>365</v>
      </c>
      <c r="G19" s="680" t="s"/>
      <c r="H19" s="680" t="s"/>
      <c r="I19" s="819" t="s"/>
    </row>
    <row r="20" spans="1:9" ht="30" customHeight="1">
      <c r="A20" s="697" t="s"/>
      <c r="B20" s="758" t="s">
        <v>279</v>
      </c>
      <c r="C20" s="690" t="s"/>
      <c r="D20" s="690" t="s"/>
      <c r="E20" s="820" t="s">
        <v>100</v>
      </c>
      <c r="F20" s="820" t="s">
        <v>366</v>
      </c>
      <c r="G20" s="829">
        <v>0.87</v>
      </c>
      <c r="H20" s="821">
        <v>0.782</v>
      </c>
      <c r="I20" s="826" t="s"/>
    </row>
    <row r="21" spans="1:9" ht="30" customHeight="1">
      <c r="A21" s="818" t="s">
        <v>315</v>
      </c>
      <c r="B21" s="758" t="s">
        <v>164</v>
      </c>
      <c r="C21" s="683" t="s"/>
      <c r="D21" s="683" t="s"/>
      <c r="E21" s="820" t="s">
        <v>141</v>
      </c>
      <c r="F21" s="820" t="s">
        <v>367</v>
      </c>
      <c r="G21" s="829">
        <v>0.87</v>
      </c>
      <c r="H21" s="821">
        <v>0.435</v>
      </c>
      <c r="I21" s="819" t="s"/>
    </row>
    <row r="22" spans="1:9" ht="30" customHeight="1">
      <c r="A22" s="697" t="s"/>
      <c r="B22" s="758" t="s">
        <v>316</v>
      </c>
      <c r="C22" s="683" t="s"/>
      <c r="D22" s="683" t="s"/>
      <c r="E22" s="820" t="s">
        <v>141</v>
      </c>
      <c r="F22" s="820" t="s">
        <v>368</v>
      </c>
      <c r="G22" s="829">
        <v>0.87</v>
      </c>
      <c r="H22" s="821">
        <v>0.435</v>
      </c>
      <c r="I22" s="819" t="s"/>
    </row>
    <row r="23" spans="1:9" ht="30" customHeight="1">
      <c r="A23" s="697" t="s"/>
      <c r="B23" s="694" t="s">
        <v>189</v>
      </c>
      <c r="C23" s="683" t="s"/>
      <c r="D23" s="683" t="s"/>
      <c r="E23" s="820" t="s">
        <v>369</v>
      </c>
      <c r="F23" s="840" t="s">
        <v>370</v>
      </c>
      <c r="G23" s="829">
        <v>0.87</v>
      </c>
      <c r="H23" s="821">
        <v>0.435</v>
      </c>
      <c r="I23" s="819" t="s"/>
    </row>
    <row r="24" spans="1:9" ht="30" customHeight="1">
      <c r="A24" s="697" t="s"/>
      <c r="B24" s="758" t="s">
        <v>82</v>
      </c>
      <c r="C24" s="690" t="s"/>
      <c r="D24" s="690" t="s"/>
      <c r="E24" s="820" t="s">
        <v>105</v>
      </c>
      <c r="F24" s="820" t="s">
        <v>367</v>
      </c>
      <c r="G24" s="829">
        <v>0.87</v>
      </c>
      <c r="H24" s="821">
        <v>0.435</v>
      </c>
      <c r="I24" s="819" t="s"/>
    </row>
    <row r="25" spans="1:9" ht="30" customHeight="1">
      <c r="A25" s="697" t="s"/>
      <c r="B25" s="820" t="s">
        <v>106</v>
      </c>
      <c r="C25" s="683" t="s"/>
      <c r="D25" s="683" t="s"/>
      <c r="E25" s="820" t="s">
        <v>47</v>
      </c>
      <c r="F25" s="820" t="s">
        <v>371</v>
      </c>
      <c r="G25" s="829">
        <v>0.87</v>
      </c>
      <c r="H25" s="821">
        <v>0.435</v>
      </c>
      <c r="I25" s="826" t="s"/>
    </row>
    <row r="26" spans="1:9" ht="30" customHeight="1">
      <c r="A26" s="818" t="s">
        <v>319</v>
      </c>
      <c r="B26" s="713" t="s">
        <v>29</v>
      </c>
      <c r="C26" s="683" t="s"/>
      <c r="D26" s="683" t="s"/>
      <c r="E26" s="713" t="s">
        <v>75</v>
      </c>
      <c r="F26" s="713" t="s">
        <v>372</v>
      </c>
      <c r="G26" s="822">
        <v>0.87</v>
      </c>
      <c r="H26" s="821">
        <v>0.348</v>
      </c>
      <c r="I26" s="819" t="s"/>
    </row>
    <row r="27" spans="1:9" ht="30" customHeight="1">
      <c r="A27" s="697" t="s"/>
      <c r="B27" s="713" t="s">
        <v>157</v>
      </c>
      <c r="C27" s="683" t="s"/>
      <c r="D27" s="683" t="s"/>
      <c r="E27" s="713" t="s">
        <v>75</v>
      </c>
      <c r="F27" s="713" t="s">
        <v>303</v>
      </c>
      <c r="G27" s="822">
        <v>0.87</v>
      </c>
      <c r="H27" s="821">
        <v>0.348</v>
      </c>
      <c r="I27" s="819" t="s"/>
    </row>
    <row r="28" spans="1:9" ht="30" customHeight="1">
      <c r="A28" s="697" t="s"/>
      <c r="B28" s="713" t="s">
        <v>321</v>
      </c>
      <c r="C28" s="683" t="s"/>
      <c r="D28" s="683" t="s"/>
      <c r="E28" s="713" t="s">
        <v>179</v>
      </c>
      <c r="F28" s="713" t="s">
        <v>373</v>
      </c>
      <c r="G28" s="822">
        <v>0.87</v>
      </c>
      <c r="H28" s="821">
        <v>0.348</v>
      </c>
      <c r="I28" s="819" t="s"/>
    </row>
    <row r="29" spans="1:9" ht="30" customHeight="1">
      <c r="A29" s="697" t="s"/>
      <c r="B29" s="713" t="s">
        <v>169</v>
      </c>
      <c r="C29" s="678" t="s"/>
      <c r="D29" s="682" t="s">
        <v>183</v>
      </c>
      <c r="E29" s="713" t="s">
        <v>76</v>
      </c>
      <c r="F29" s="713" t="s">
        <v>374</v>
      </c>
      <c r="G29" s="822">
        <v>0.87</v>
      </c>
      <c r="H29" s="821">
        <v>0.348</v>
      </c>
      <c r="I29" s="819" t="s"/>
    </row>
    <row r="30" spans="1:9" ht="30" hidden="1" customHeight="1">
      <c r="A30" s="697" t="s"/>
      <c r="B30" s="678" t="s"/>
      <c r="C30" s="678" t="s"/>
      <c r="D30" s="682" t="s">
        <v>56</v>
      </c>
      <c r="E30" s="713" t="s">
        <v>124</v>
      </c>
      <c r="F30" s="713" t="s">
        <v>375</v>
      </c>
      <c r="G30" s="678" t="s"/>
      <c r="H30" s="678" t="s"/>
      <c r="I30" s="819" t="s"/>
    </row>
    <row r="31" spans="1:23" ht="30" customHeight="1">
      <c r="A31" s="818" t="s">
        <v>327</v>
      </c>
      <c r="B31" s="713" t="s">
        <v>332</v>
      </c>
      <c r="C31" s="678" t="s"/>
      <c r="D31" s="713" t="s">
        <v>183</v>
      </c>
      <c r="E31" s="713" t="s">
        <v>376</v>
      </c>
      <c r="F31" s="713" t="s">
        <v>377</v>
      </c>
      <c r="G31" s="822">
        <v>0.87</v>
      </c>
      <c r="H31" s="821">
        <v>0.37</v>
      </c>
      <c r="I31" s="826" t="s"/>
      <c r="J31" s="759" t="s"/>
      <c r="K31" s="759" t="s"/>
      <c r="L31" s="759" t="s"/>
      <c r="M31" s="759" t="s"/>
      <c r="N31" s="759" t="s"/>
      <c r="O31" s="759" t="s"/>
      <c r="P31" s="759" t="s"/>
      <c r="Q31" s="759" t="s"/>
      <c r="R31" s="759" t="s"/>
      <c r="S31" s="759" t="s"/>
      <c r="T31" s="759" t="s"/>
      <c r="U31" s="759" t="s"/>
      <c r="V31" s="759" t="s"/>
      <c r="W31" s="759" t="s"/>
    </row>
    <row r="32" spans="1:23" ht="30" customHeight="1">
      <c r="A32" s="678" t="s"/>
      <c r="B32" s="678" t="s"/>
      <c r="C32" s="678" t="s"/>
      <c r="D32" s="713" t="s">
        <v>378</v>
      </c>
      <c r="E32" s="678" t="s"/>
      <c r="F32" s="678" t="s"/>
      <c r="G32" s="822">
        <v>1</v>
      </c>
      <c r="H32" s="821">
        <v>0.425</v>
      </c>
      <c r="I32" s="826" t="s"/>
      <c r="J32" s="759" t="s"/>
      <c r="K32" s="759" t="s"/>
      <c r="L32" s="759" t="s"/>
      <c r="M32" s="759" t="s"/>
      <c r="N32" s="759" t="s"/>
      <c r="O32" s="759" t="s"/>
      <c r="P32" s="759" t="s"/>
      <c r="Q32" s="759" t="s"/>
      <c r="R32" s="759" t="s"/>
      <c r="S32" s="759" t="s"/>
      <c r="T32" s="759" t="s"/>
      <c r="U32" s="759" t="s"/>
      <c r="V32" s="759" t="s"/>
      <c r="W32" s="759" t="s"/>
    </row>
    <row r="33" spans="1:23" ht="30" customHeight="1">
      <c r="A33" s="678" t="s"/>
      <c r="B33" s="713" t="s">
        <v>379</v>
      </c>
      <c r="C33" s="678" t="s"/>
      <c r="D33" s="678" t="s"/>
      <c r="E33" s="713" t="s">
        <v>376</v>
      </c>
      <c r="F33" s="713" t="s">
        <v>380</v>
      </c>
      <c r="G33" s="822">
        <v>0.87</v>
      </c>
      <c r="H33" s="821">
        <v>0.425</v>
      </c>
      <c r="I33" s="819" t="s"/>
      <c r="J33" s="759" t="s"/>
      <c r="K33" s="759" t="s"/>
      <c r="L33" s="759" t="s"/>
      <c r="M33" s="759" t="s"/>
      <c r="N33" s="759" t="s"/>
      <c r="O33" s="759" t="s"/>
      <c r="P33" s="759" t="s"/>
      <c r="Q33" s="759" t="s"/>
      <c r="R33" s="759" t="s"/>
      <c r="S33" s="759" t="s"/>
      <c r="T33" s="759" t="s"/>
      <c r="U33" s="759" t="s"/>
      <c r="V33" s="759" t="s"/>
      <c r="W33" s="759" t="s"/>
    </row>
    <row r="34" spans="1:23" ht="30" customHeight="1">
      <c r="A34" s="678" t="s"/>
      <c r="B34" s="713" t="s">
        <v>333</v>
      </c>
      <c r="C34" s="678" t="s"/>
      <c r="D34" s="713" t="s">
        <v>183</v>
      </c>
      <c r="E34" s="713" t="s">
        <v>105</v>
      </c>
      <c r="F34" s="686" t="s">
        <v>381</v>
      </c>
      <c r="G34" s="822">
        <v>0.87</v>
      </c>
      <c r="H34" s="821">
        <v>0.37</v>
      </c>
      <c r="I34" s="819" t="s"/>
      <c r="J34" s="759" t="s"/>
      <c r="K34" s="759" t="s"/>
      <c r="L34" s="759" t="s"/>
      <c r="M34" s="759" t="s"/>
      <c r="N34" s="759" t="s"/>
      <c r="O34" s="759" t="s"/>
      <c r="P34" s="759" t="s"/>
      <c r="Q34" s="759" t="s"/>
      <c r="R34" s="759" t="s"/>
      <c r="S34" s="759" t="s"/>
      <c r="T34" s="759" t="s"/>
      <c r="U34" s="759" t="s"/>
      <c r="V34" s="759" t="s"/>
      <c r="W34" s="759" t="s"/>
    </row>
    <row r="35" spans="1:23" ht="30" customHeight="1">
      <c r="A35" s="678" t="s"/>
      <c r="B35" s="678" t="s"/>
      <c r="C35" s="678" t="s"/>
      <c r="D35" s="713" t="s">
        <v>378</v>
      </c>
      <c r="E35" s="678" t="s"/>
      <c r="F35" s="678" t="s"/>
      <c r="G35" s="822">
        <v>1</v>
      </c>
      <c r="H35" s="821">
        <v>0.425</v>
      </c>
      <c r="I35" s="819" t="s"/>
      <c r="J35" s="759" t="s"/>
      <c r="K35" s="759" t="s"/>
      <c r="L35" s="759" t="s"/>
      <c r="M35" s="759" t="s"/>
      <c r="N35" s="759" t="s"/>
      <c r="O35" s="759" t="s"/>
      <c r="P35" s="759" t="s"/>
      <c r="Q35" s="759" t="s"/>
      <c r="R35" s="759" t="s"/>
      <c r="S35" s="759" t="s"/>
      <c r="T35" s="759" t="s"/>
      <c r="U35" s="759" t="s"/>
      <c r="V35" s="759" t="s"/>
      <c r="W35" s="759" t="s"/>
    </row>
    <row r="36" spans="1:23" ht="30" customHeight="1">
      <c r="A36" s="818" t="s">
        <v>334</v>
      </c>
      <c r="B36" s="841" t="s">
        <v>182</v>
      </c>
      <c r="C36" s="705" t="s"/>
      <c r="D36" s="713" t="s">
        <v>183</v>
      </c>
      <c r="E36" s="713" t="s">
        <v>156</v>
      </c>
      <c r="F36" s="713" t="s">
        <v>214</v>
      </c>
      <c r="G36" s="822">
        <v>0.87</v>
      </c>
      <c r="H36" s="821">
        <v>0.87</v>
      </c>
      <c r="I36" s="819" t="s"/>
      <c r="J36" s="759" t="s"/>
      <c r="K36" s="759" t="s"/>
      <c r="L36" s="759" t="s"/>
      <c r="M36" s="759" t="s"/>
      <c r="N36" s="759" t="s"/>
      <c r="O36" s="759" t="s"/>
      <c r="P36" s="759" t="s"/>
      <c r="Q36" s="759" t="s"/>
      <c r="R36" s="759" t="s"/>
      <c r="S36" s="759" t="s"/>
      <c r="T36" s="759" t="s"/>
      <c r="U36" s="759" t="s"/>
      <c r="V36" s="759" t="s"/>
      <c r="W36" s="759" t="s"/>
    </row>
    <row r="37" spans="1:23" ht="30" customHeight="1">
      <c r="A37" s="697" t="s"/>
      <c r="B37" s="711" t="s"/>
      <c r="C37" s="712" t="s"/>
      <c r="D37" s="713" t="s">
        <v>56</v>
      </c>
      <c r="E37" s="713" t="s">
        <v>100</v>
      </c>
      <c r="F37" s="713" t="s">
        <v>382</v>
      </c>
      <c r="G37" s="822">
        <v>0.87</v>
      </c>
      <c r="H37" s="821">
        <v>0.87</v>
      </c>
      <c r="I37" s="819" t="s"/>
      <c r="J37" s="759" t="s"/>
      <c r="K37" s="759" t="s"/>
      <c r="L37" s="759" t="s"/>
      <c r="M37" s="759" t="s"/>
      <c r="N37" s="759" t="s"/>
      <c r="O37" s="759" t="s"/>
      <c r="P37" s="759" t="s"/>
      <c r="Q37" s="759" t="s"/>
      <c r="R37" s="759" t="s"/>
      <c r="S37" s="759" t="s"/>
      <c r="T37" s="759" t="s"/>
      <c r="U37" s="759" t="s"/>
      <c r="V37" s="759" t="s"/>
      <c r="W37" s="759" t="s"/>
    </row>
    <row r="38" spans="1:23" ht="40.5" customHeight="1">
      <c r="A38" s="678" t="s"/>
      <c r="B38" s="713" t="s">
        <v>208</v>
      </c>
      <c r="C38" s="678" t="s"/>
      <c r="D38" s="713" t="s">
        <v>183</v>
      </c>
      <c r="E38" s="713" t="s">
        <v>383</v>
      </c>
      <c r="F38" s="713" t="s">
        <v>193</v>
      </c>
      <c r="G38" s="822">
        <v>0.87</v>
      </c>
      <c r="H38" s="842" t="s">
        <v>384</v>
      </c>
      <c r="I38" s="819" t="s"/>
      <c r="J38" s="759" t="s"/>
      <c r="K38" s="759" t="s"/>
      <c r="L38" s="759" t="s"/>
      <c r="M38" s="759" t="s"/>
      <c r="N38" s="759" t="s"/>
      <c r="O38" s="759" t="s"/>
      <c r="P38" s="759" t="s"/>
      <c r="Q38" s="759" t="s"/>
      <c r="R38" s="759" t="s"/>
      <c r="S38" s="759" t="s"/>
      <c r="T38" s="759" t="s"/>
      <c r="U38" s="759" t="s"/>
      <c r="V38" s="759" t="s"/>
      <c r="W38" s="759" t="s"/>
    </row>
    <row r="39" spans="1:23" ht="39" customHeight="1">
      <c r="A39" s="697" t="s"/>
      <c r="B39" s="678" t="s"/>
      <c r="C39" s="678" t="s"/>
      <c r="D39" s="713" t="s">
        <v>378</v>
      </c>
      <c r="E39" s="678" t="s"/>
      <c r="F39" s="678" t="s"/>
      <c r="G39" s="822">
        <v>1</v>
      </c>
      <c r="H39" s="842" t="s">
        <v>385</v>
      </c>
      <c r="I39" s="819" t="s"/>
      <c r="J39" s="759" t="s"/>
      <c r="K39" s="759" t="s"/>
      <c r="L39" s="759" t="s"/>
      <c r="M39" s="759" t="s"/>
      <c r="N39" s="759" t="s"/>
      <c r="O39" s="759" t="s"/>
      <c r="P39" s="759" t="s"/>
      <c r="Q39" s="759" t="s"/>
      <c r="R39" s="759" t="s"/>
      <c r="S39" s="759" t="s"/>
      <c r="T39" s="759" t="s"/>
      <c r="U39" s="759" t="s"/>
      <c r="V39" s="759" t="s"/>
      <c r="W39" s="759" t="s"/>
    </row>
    <row r="40" spans="1:9" ht="30" customHeight="1">
      <c r="A40" s="678" t="s"/>
      <c r="B40" s="713" t="s">
        <v>270</v>
      </c>
      <c r="C40" s="678" t="s"/>
      <c r="D40" s="713" t="s">
        <v>183</v>
      </c>
      <c r="E40" s="713" t="s">
        <v>142</v>
      </c>
      <c r="F40" s="713" t="s">
        <v>386</v>
      </c>
      <c r="G40" s="822">
        <v>0.87</v>
      </c>
      <c r="H40" s="821">
        <v>0.304</v>
      </c>
      <c r="I40" s="819" t="s"/>
    </row>
    <row r="41" spans="1:9" ht="30" customHeight="1">
      <c r="A41" s="697" t="s"/>
      <c r="B41" s="678" t="s"/>
      <c r="C41" s="678" t="s"/>
      <c r="D41" s="713" t="s">
        <v>378</v>
      </c>
      <c r="E41" s="678" t="s"/>
      <c r="F41" s="678" t="s"/>
      <c r="G41" s="822">
        <v>1</v>
      </c>
      <c r="H41" s="821">
        <v>0.35</v>
      </c>
      <c r="I41" s="819" t="s"/>
    </row>
    <row r="42" spans="1:9" ht="30" customHeight="1">
      <c r="A42" s="678" t="s"/>
      <c r="B42" s="819" t="s">
        <v>294</v>
      </c>
      <c r="C42" s="678" t="s"/>
      <c r="D42" s="819" t="s">
        <v>183</v>
      </c>
      <c r="E42" s="819" t="s">
        <v>142</v>
      </c>
      <c r="F42" s="819" t="s">
        <v>373</v>
      </c>
      <c r="G42" s="821">
        <v>0.87</v>
      </c>
      <c r="H42" s="821">
        <v>0.304</v>
      </c>
      <c r="I42" s="819" t="s"/>
    </row>
    <row r="43" spans="1:9" ht="30" customHeight="1">
      <c r="A43" s="697" t="s"/>
      <c r="B43" s="678" t="s"/>
      <c r="C43" s="678" t="s"/>
      <c r="D43" s="819" t="s">
        <v>378</v>
      </c>
      <c r="E43" s="678" t="s"/>
      <c r="F43" s="678" t="s"/>
      <c r="G43" s="821">
        <v>1</v>
      </c>
      <c r="H43" s="821">
        <v>0.35</v>
      </c>
      <c r="I43" s="819" t="s"/>
    </row>
    <row r="44" spans="1:9" ht="30" customHeight="1">
      <c r="A44" s="678" t="s"/>
      <c r="B44" s="819" t="s">
        <v>387</v>
      </c>
      <c r="C44" s="678" t="s"/>
      <c r="D44" s="819" t="s">
        <v>183</v>
      </c>
      <c r="E44" s="819" t="s">
        <v>179</v>
      </c>
      <c r="F44" s="819" t="s">
        <v>388</v>
      </c>
      <c r="G44" s="821">
        <v>0.87</v>
      </c>
      <c r="H44" s="821">
        <v>0.304</v>
      </c>
      <c r="I44" s="819" t="s"/>
    </row>
    <row r="45" spans="1:9" ht="30" customHeight="1">
      <c r="A45" s="697" t="s"/>
      <c r="B45" s="678" t="s"/>
      <c r="C45" s="678" t="s"/>
      <c r="D45" s="819" t="s">
        <v>378</v>
      </c>
      <c r="E45" s="678" t="s"/>
      <c r="F45" s="678" t="s"/>
      <c r="G45" s="821">
        <v>1</v>
      </c>
      <c r="H45" s="821">
        <v>0.35</v>
      </c>
      <c r="I45" s="819" t="s"/>
    </row>
    <row r="46" spans="1:9" ht="30" customHeight="1">
      <c r="A46" s="678" t="s"/>
      <c r="B46" s="819" t="s">
        <v>285</v>
      </c>
      <c r="C46" s="683" t="s"/>
      <c r="D46" s="683" t="s"/>
      <c r="E46" s="819" t="s">
        <v>225</v>
      </c>
      <c r="F46" s="819" t="s">
        <v>389</v>
      </c>
      <c r="G46" s="821">
        <v>0.87</v>
      </c>
      <c r="H46" s="821">
        <v>0.304</v>
      </c>
      <c r="I46" s="819" t="s"/>
    </row>
  </sheetData>
  <mergeCells count="61">
    <mergeCell ref="A1:I1"/>
    <mergeCell ref="A2:H2"/>
    <mergeCell ref="G3:H3"/>
    <mergeCell ref="B5:D5"/>
    <mergeCell ref="B6:D6"/>
    <mergeCell ref="B7:D7"/>
    <mergeCell ref="B8:D8"/>
    <mergeCell ref="B9:D9"/>
    <mergeCell ref="B10:D10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33:D33"/>
    <mergeCell ref="B46:D46"/>
    <mergeCell ref="A3:A4"/>
    <mergeCell ref="A5:A12"/>
    <mergeCell ref="A13:A20"/>
    <mergeCell ref="A21:A25"/>
    <mergeCell ref="A26:A30"/>
    <mergeCell ref="A31:A35"/>
    <mergeCell ref="A36:A46"/>
    <mergeCell ref="E31:E32"/>
    <mergeCell ref="E34:E35"/>
    <mergeCell ref="E38:E39"/>
    <mergeCell ref="E40:E41"/>
    <mergeCell ref="E42:E43"/>
    <mergeCell ref="E44:E45"/>
    <mergeCell ref="F31:F32"/>
    <mergeCell ref="F34:F35"/>
    <mergeCell ref="F38:F39"/>
    <mergeCell ref="F40:F41"/>
    <mergeCell ref="F42:F43"/>
    <mergeCell ref="F44:F45"/>
    <mergeCell ref="G11:G12"/>
    <mergeCell ref="G15:G16"/>
    <mergeCell ref="G17:G19"/>
    <mergeCell ref="G29:G30"/>
    <mergeCell ref="H11:H12"/>
    <mergeCell ref="H15:H16"/>
    <mergeCell ref="H17:H19"/>
    <mergeCell ref="H29:H30"/>
    <mergeCell ref="I3:I4"/>
    <mergeCell ref="B15:C16"/>
    <mergeCell ref="B29:C30"/>
    <mergeCell ref="B3:D4"/>
    <mergeCell ref="B31:C32"/>
    <mergeCell ref="B11:C12"/>
    <mergeCell ref="B34:C35"/>
    <mergeCell ref="B38:C39"/>
    <mergeCell ref="B40:C41"/>
    <mergeCell ref="B42:C43"/>
    <mergeCell ref="B44:C45"/>
    <mergeCell ref="B36:C37"/>
    <mergeCell ref="B13:C14"/>
    <mergeCell ref="B17:C19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>
  <sheetPr codeName="可视化曲线"/>
  <dimension ref="AT122"/>
  <sheetViews>
    <sheetView showGridLines="1" topLeftCell="B1" zoomScale="85" zoomScaleNormal="85" workbookViewId="0"/>
  </sheetViews>
  <sheetFormatPr defaultColWidth="14" defaultRowHeight="18" customHeight="1"/>
  <cols>
    <col min="1" max="1" width="13.6167" style="953" customWidth="1"/>
    <col min="2" max="2" width="15.65" style="953" customWidth="1"/>
    <col min="3" max="3" width="13.6167" style="953" customWidth="1"/>
    <col min="4" max="46" width="9.84167" style="953" customWidth="1"/>
  </cols>
  <sheetData>
    <row r="1" spans="1:46" ht="39" customHeight="1">
      <c r="A1" s="843" t="s">
        <v>390</v>
      </c>
      <c r="B1" s="678" t="s"/>
      <c r="C1" s="678" t="s"/>
      <c r="D1" s="678" t="s"/>
      <c r="E1" s="678" t="s"/>
      <c r="F1" s="678" t="s"/>
      <c r="G1" s="678" t="s"/>
      <c r="H1" s="678" t="s"/>
      <c r="I1" s="678" t="s"/>
      <c r="J1" s="678" t="s"/>
      <c r="K1" s="678" t="s"/>
      <c r="L1" s="678" t="s"/>
      <c r="M1" s="678" t="s"/>
      <c r="N1" s="678" t="s"/>
      <c r="O1" s="678" t="s"/>
      <c r="P1" s="678" t="s"/>
      <c r="Q1" s="678" t="s"/>
      <c r="R1" s="678" t="s"/>
      <c r="S1" s="678" t="s"/>
      <c r="T1" s="678" t="s"/>
      <c r="U1" s="678" t="s"/>
      <c r="V1" s="678" t="s"/>
      <c r="W1" s="678" t="s"/>
      <c r="X1" s="678" t="s"/>
      <c r="Y1" s="678" t="s"/>
      <c r="Z1" s="678" t="s"/>
      <c r="AA1" s="844" t="s"/>
      <c r="AB1" s="844" t="s"/>
      <c r="AC1" s="844" t="s"/>
      <c r="AD1" s="844" t="s"/>
      <c r="AE1" s="844" t="s"/>
      <c r="AF1" s="844" t="s"/>
      <c r="AG1" s="844" t="s"/>
      <c r="AH1" s="844" t="s"/>
      <c r="AI1" s="844" t="s"/>
      <c r="AJ1" s="844" t="s"/>
      <c r="AK1" s="844" t="s"/>
      <c r="AL1" s="844" t="s"/>
      <c r="AM1" s="844" t="s"/>
      <c r="AN1" s="844" t="s"/>
      <c r="AO1" s="844" t="s"/>
      <c r="AP1" s="844" t="s"/>
      <c r="AQ1" s="844" t="s"/>
      <c r="AR1" s="844" t="s"/>
      <c r="AS1" s="844" t="s"/>
      <c r="AT1" s="844" t="s"/>
    </row>
    <row r="2" spans="1:46" ht="28.5" customHeight="1">
      <c r="A2" s="845" t="s">
        <v>664</v>
      </c>
      <c r="B2" s="678" t="s"/>
      <c r="C2" s="678" t="s"/>
      <c r="D2" s="678" t="s"/>
      <c r="E2" s="678" t="s"/>
      <c r="F2" s="678" t="s"/>
      <c r="G2" s="678" t="s"/>
      <c r="H2" s="678" t="s"/>
      <c r="I2" s="678" t="s"/>
      <c r="J2" s="678" t="s"/>
      <c r="K2" s="678" t="s"/>
      <c r="L2" s="678" t="s"/>
      <c r="M2" s="678" t="s"/>
      <c r="N2" s="678" t="s"/>
      <c r="O2" s="678" t="s"/>
      <c r="P2" s="678" t="s"/>
      <c r="Q2" s="678" t="s"/>
      <c r="R2" s="678" t="s"/>
      <c r="S2" s="678" t="s"/>
      <c r="T2" s="678" t="s"/>
      <c r="U2" s="678" t="s"/>
      <c r="V2" s="678" t="s"/>
      <c r="W2" s="678" t="s"/>
      <c r="X2" s="678" t="s"/>
      <c r="Y2" s="678" t="s"/>
      <c r="Z2" s="678" t="s"/>
      <c r="AA2" s="846" t="s"/>
      <c r="AB2" s="846" t="s"/>
      <c r="AC2" s="846" t="s"/>
      <c r="AD2" s="846" t="s"/>
      <c r="AE2" s="846" t="s"/>
      <c r="AF2" s="846" t="s"/>
      <c r="AG2" s="846" t="s"/>
      <c r="AH2" s="846" t="s"/>
      <c r="AI2" s="846" t="s"/>
      <c r="AJ2" s="846" t="s"/>
      <c r="AK2" s="846" t="s"/>
      <c r="AL2" s="846" t="s"/>
      <c r="AM2" s="846" t="s"/>
      <c r="AN2" s="846" t="s"/>
      <c r="AO2" s="846" t="s"/>
      <c r="AP2" s="846" t="s"/>
      <c r="AQ2" s="846" t="s"/>
      <c r="AR2" s="846" t="s"/>
      <c r="AS2" s="846" t="s"/>
      <c r="AT2" s="846" t="s"/>
    </row>
    <row r="3" spans="1:15" ht="14.25">
      <c r="A3" s="847" t="s">
        <v>391</v>
      </c>
      <c r="B3" s="848" t="s">
        <v>392</v>
      </c>
      <c r="C3" s="849" t="s">
        <v>393</v>
      </c>
      <c r="D3" s="850">
        <v>1</v>
      </c>
      <c r="E3" s="850">
        <f>16/E5</f>
        <v>0.941176470588235</v>
      </c>
      <c r="F3" s="850">
        <f>16/F5</f>
        <v>0.888888888888889</v>
      </c>
      <c r="G3" s="850">
        <f>16/G5</f>
        <v>0.842105263157895</v>
      </c>
      <c r="H3" s="850">
        <f>16/H5</f>
        <v>0.8</v>
      </c>
      <c r="I3" s="850">
        <f>16/I5</f>
        <v>0.761904761904762</v>
      </c>
      <c r="J3" s="850">
        <f>16/J5</f>
        <v>0.727272727272727</v>
      </c>
      <c r="K3" s="850">
        <f>16/K5</f>
        <v>0.695652173913044</v>
      </c>
      <c r="L3" s="850">
        <f>16/L5</f>
        <v>0.666666666666667</v>
      </c>
      <c r="M3" s="850">
        <f>16/M5</f>
        <v>0.64</v>
      </c>
      <c r="N3" s="850">
        <f>16/N5</f>
        <v>0.615384615384616</v>
      </c>
      <c r="O3" s="850">
        <f>16/O5</f>
        <v>0.592592592592593</v>
      </c>
    </row>
    <row r="4" spans="1:15" ht="14.25">
      <c r="A4" s="679" t="s"/>
      <c r="B4" s="718" t="s"/>
      <c r="C4" s="851" t="s">
        <v>394</v>
      </c>
      <c r="D4" s="852">
        <v>0.85</v>
      </c>
      <c r="E4" s="852">
        <f>D4/(D5-1)*(E5-1)</f>
        <v>0.906666666666667</v>
      </c>
      <c r="F4" s="852">
        <f>E4/(E5-1)*(F5-1)</f>
        <v>0.963333333333333</v>
      </c>
      <c r="G4" s="852">
        <f>F4/(F5-1)*(G5-1)</f>
        <v>1.02</v>
      </c>
      <c r="H4" s="852">
        <f>G4/(G5-1)*(H5-1)</f>
        <v>1.07666666666667</v>
      </c>
      <c r="I4" s="852">
        <f>H4/(H5-1)*(I5-1)</f>
        <v>1.13333333333333</v>
      </c>
      <c r="J4" s="852">
        <f>I4/(I5-1)*(J5-1)</f>
        <v>1.19</v>
      </c>
      <c r="K4" s="852">
        <f>J4/(J5-1)*(K5-1)</f>
        <v>1.24666666666667</v>
      </c>
      <c r="L4" s="852">
        <f>K4/(K5-1)*(L5-1)</f>
        <v>1.30333333333333</v>
      </c>
      <c r="M4" s="852">
        <f>L4/(L5-1)*(M5-1)</f>
        <v>1.36</v>
      </c>
      <c r="N4" s="852">
        <f>M4/(M5-1)*(N5-1)</f>
        <v>1.41666666666667</v>
      </c>
      <c r="O4" s="852">
        <f>N4/(N5-1)*(O5-1)</f>
        <v>1.47333333333333</v>
      </c>
    </row>
    <row r="5" spans="1:15" ht="14.25">
      <c r="A5" s="679" t="s"/>
      <c r="B5" s="718" t="s"/>
      <c r="C5" s="851" t="s">
        <v>395</v>
      </c>
      <c r="D5" s="851">
        <v>16</v>
      </c>
      <c r="E5" s="851">
        <v>17</v>
      </c>
      <c r="F5" s="851">
        <v>18</v>
      </c>
      <c r="G5" s="851">
        <v>19</v>
      </c>
      <c r="H5" s="851">
        <v>20</v>
      </c>
      <c r="I5" s="851">
        <v>21</v>
      </c>
      <c r="J5" s="851">
        <v>22</v>
      </c>
      <c r="K5" s="851">
        <v>23</v>
      </c>
      <c r="L5" s="851">
        <v>24</v>
      </c>
      <c r="M5" s="851">
        <v>25</v>
      </c>
      <c r="N5" s="851">
        <v>26</v>
      </c>
      <c r="O5" s="851">
        <v>27</v>
      </c>
    </row>
    <row r="6" spans="1:46" customHeight="1">
      <c r="A6" s="679" t="s"/>
      <c r="B6" s="853" t="s">
        <v>396</v>
      </c>
      <c r="C6" s="854" t="s">
        <v>393</v>
      </c>
      <c r="D6" s="855">
        <v>1</v>
      </c>
      <c r="E6" s="855">
        <f>15/E8</f>
        <v>0.9375</v>
      </c>
      <c r="F6" s="855">
        <f>15/F8</f>
        <v>0.882352941176471</v>
      </c>
      <c r="G6" s="855">
        <f>15/G8</f>
        <v>0.833333333333334</v>
      </c>
      <c r="H6" s="855">
        <f>15/H8</f>
        <v>0.789473684210527</v>
      </c>
      <c r="I6" s="855">
        <f>15/I8</f>
        <v>0.75</v>
      </c>
      <c r="J6" s="855">
        <f>15/J8</f>
        <v>0.714285714285714</v>
      </c>
      <c r="K6" s="855">
        <f>15/K8</f>
        <v>0.681818181818182</v>
      </c>
      <c r="L6" s="855">
        <f>15/L8</f>
        <v>0.652173913043478</v>
      </c>
      <c r="M6" s="855">
        <f>15/M8</f>
        <v>0.625</v>
      </c>
      <c r="N6" s="855">
        <f>15/N8</f>
        <v>0.6</v>
      </c>
      <c r="O6" s="855">
        <f>15/O8</f>
        <v>0.576923076923077</v>
      </c>
      <c r="P6" s="855">
        <f>15/P8</f>
        <v>0.555555555555556</v>
      </c>
      <c r="Q6" s="855">
        <f>15/Q8</f>
        <v>0.535714285714286</v>
      </c>
      <c r="R6" s="856" t="s"/>
      <c r="S6" s="856" t="s"/>
      <c r="T6" s="856" t="s"/>
      <c r="U6" s="856" t="s"/>
      <c r="V6" s="856" t="s"/>
      <c r="W6" s="856" t="s"/>
      <c r="X6" s="856" t="s"/>
      <c r="Y6" s="856" t="s"/>
      <c r="Z6" s="856" t="s"/>
      <c r="AA6" s="856" t="s"/>
      <c r="AB6" s="856" t="s"/>
      <c r="AC6" s="856" t="s"/>
      <c r="AD6" s="856" t="s"/>
      <c r="AE6" s="856" t="s"/>
      <c r="AF6" s="856" t="s"/>
      <c r="AG6" s="856" t="s"/>
      <c r="AH6" s="856" t="s"/>
      <c r="AI6" s="856" t="s"/>
      <c r="AJ6" s="856" t="s"/>
      <c r="AK6" s="856" t="s"/>
      <c r="AL6" s="856" t="s"/>
      <c r="AM6" s="856" t="s"/>
      <c r="AN6" s="856" t="s"/>
      <c r="AO6" s="856" t="s"/>
      <c r="AP6" s="856" t="s"/>
      <c r="AQ6" s="856" t="s"/>
      <c r="AR6" s="856" t="s"/>
      <c r="AS6" s="856" t="s"/>
      <c r="AT6" s="856" t="s"/>
    </row>
    <row r="7" spans="1:46" customHeight="1">
      <c r="A7" s="679" t="s"/>
      <c r="B7" s="718" t="s"/>
      <c r="C7" s="854" t="s">
        <v>394</v>
      </c>
      <c r="D7" s="857">
        <v>0.9</v>
      </c>
      <c r="E7" s="857">
        <f>D7/(D8-1)*(E8-1)</f>
        <v>0.964285714285715</v>
      </c>
      <c r="F7" s="857">
        <f>E7/(E8-1)*(F8-1)</f>
        <v>1.02857142857143</v>
      </c>
      <c r="G7" s="857">
        <f>F7/(F8-1)*(G8-1)</f>
        <v>1.09285714285714</v>
      </c>
      <c r="H7" s="857">
        <f>G7/(G8-1)*(H8-1)</f>
        <v>1.15714285714286</v>
      </c>
      <c r="I7" s="857">
        <f>H7/(H8-1)*(I8-1)</f>
        <v>1.22142857142857</v>
      </c>
      <c r="J7" s="857">
        <f>I7/(I8-1)*(J8-1)</f>
        <v>1.28571428571429</v>
      </c>
      <c r="K7" s="857">
        <f>J7/(J8-1)*(K8-1)</f>
        <v>1.35</v>
      </c>
      <c r="L7" s="857">
        <f>K7/(K8-1)*(L8-1)</f>
        <v>1.41428571428571</v>
      </c>
      <c r="M7" s="857">
        <f>L7/(L8-1)*(M8-1)</f>
        <v>1.47857142857143</v>
      </c>
      <c r="N7" s="857">
        <f>M7/(M8-1)*(N8-1)</f>
        <v>1.54285714285714</v>
      </c>
      <c r="O7" s="857">
        <f>N7/(N8-1)*(O8-1)</f>
        <v>1.60714285714286</v>
      </c>
      <c r="P7" s="857">
        <f>O7/(O8-1)*(P8-1)</f>
        <v>1.67142857142857</v>
      </c>
      <c r="Q7" s="857">
        <f>P7/(P8-1)*(Q8-1)</f>
        <v>1.73571428571429</v>
      </c>
      <c r="R7" s="856" t="s"/>
      <c r="S7" s="856" t="s"/>
      <c r="T7" s="856" t="s"/>
      <c r="U7" s="856" t="s"/>
      <c r="V7" s="856" t="s"/>
      <c r="W7" s="856" t="s"/>
      <c r="X7" s="856" t="s"/>
      <c r="Y7" s="856" t="s"/>
      <c r="Z7" s="856" t="s"/>
      <c r="AA7" s="856" t="s"/>
      <c r="AB7" s="856" t="s"/>
      <c r="AC7" s="856" t="s"/>
      <c r="AD7" s="856" t="s"/>
      <c r="AE7" s="856" t="s"/>
      <c r="AF7" s="856" t="s"/>
      <c r="AG7" s="856" t="s"/>
      <c r="AH7" s="856" t="s"/>
      <c r="AI7" s="856" t="s"/>
      <c r="AJ7" s="856" t="s"/>
      <c r="AK7" s="856" t="s"/>
      <c r="AL7" s="856" t="s"/>
      <c r="AM7" s="856" t="s"/>
      <c r="AN7" s="856" t="s"/>
      <c r="AO7" s="856" t="s"/>
      <c r="AP7" s="856" t="s"/>
      <c r="AQ7" s="856" t="s"/>
      <c r="AR7" s="856" t="s"/>
      <c r="AS7" s="856" t="s"/>
      <c r="AT7" s="856" t="s"/>
    </row>
    <row r="8" spans="1:46" customHeight="1">
      <c r="A8" s="679" t="s"/>
      <c r="B8" s="718" t="s"/>
      <c r="C8" s="854" t="s">
        <v>395</v>
      </c>
      <c r="D8" s="854">
        <v>15</v>
      </c>
      <c r="E8" s="854">
        <v>16</v>
      </c>
      <c r="F8" s="854">
        <v>17</v>
      </c>
      <c r="G8" s="854">
        <v>18</v>
      </c>
      <c r="H8" s="854">
        <v>19</v>
      </c>
      <c r="I8" s="854">
        <v>20</v>
      </c>
      <c r="J8" s="854">
        <v>21</v>
      </c>
      <c r="K8" s="854">
        <v>22</v>
      </c>
      <c r="L8" s="854">
        <v>23</v>
      </c>
      <c r="M8" s="854">
        <v>24</v>
      </c>
      <c r="N8" s="854">
        <v>25</v>
      </c>
      <c r="O8" s="854">
        <v>26</v>
      </c>
      <c r="P8" s="854">
        <v>27</v>
      </c>
      <c r="Q8" s="854">
        <v>28</v>
      </c>
      <c r="R8" s="856" t="s"/>
      <c r="S8" s="856" t="s"/>
      <c r="T8" s="856" t="s"/>
      <c r="U8" s="856" t="s"/>
      <c r="V8" s="856" t="s"/>
      <c r="W8" s="856" t="s"/>
      <c r="X8" s="856" t="s"/>
      <c r="Y8" s="856" t="s"/>
      <c r="Z8" s="856" t="s"/>
      <c r="AA8" s="856" t="s"/>
      <c r="AB8" s="856" t="s"/>
      <c r="AC8" s="856" t="s"/>
      <c r="AD8" s="856" t="s"/>
      <c r="AE8" s="856" t="s"/>
      <c r="AF8" s="856" t="s"/>
      <c r="AG8" s="856" t="s"/>
      <c r="AH8" s="856" t="s"/>
      <c r="AI8" s="856" t="s"/>
      <c r="AJ8" s="856" t="s"/>
      <c r="AK8" s="856" t="s"/>
      <c r="AL8" s="856" t="s"/>
      <c r="AM8" s="856" t="s"/>
      <c r="AN8" s="856" t="s"/>
      <c r="AO8" s="856" t="s"/>
      <c r="AP8" s="856" t="s"/>
      <c r="AQ8" s="856" t="s"/>
      <c r="AR8" s="856" t="s"/>
      <c r="AS8" s="856" t="s"/>
      <c r="AT8" s="856" t="s"/>
    </row>
    <row r="9" spans="1:46" customHeight="1">
      <c r="A9" s="679" t="s"/>
      <c r="B9" s="858" t="s">
        <v>397</v>
      </c>
      <c r="C9" s="851" t="s">
        <v>393</v>
      </c>
      <c r="D9" s="855">
        <v>1</v>
      </c>
      <c r="E9" s="855">
        <f>13/E11</f>
        <v>0.928571428571429</v>
      </c>
      <c r="F9" s="855">
        <f>13/F11</f>
        <v>0.866666666666667</v>
      </c>
      <c r="G9" s="855">
        <f>13/G11</f>
        <v>0.8125</v>
      </c>
      <c r="H9" s="855">
        <f>13/H11</f>
        <v>0.764705882352941</v>
      </c>
      <c r="I9" s="855">
        <f>13/I11</f>
        <v>0.722222222222222</v>
      </c>
      <c r="J9" s="855">
        <f>13/J11</f>
        <v>0.68421052631579</v>
      </c>
      <c r="K9" s="855">
        <f>13/K11</f>
        <v>0.65</v>
      </c>
      <c r="L9" s="855">
        <f>13/L11</f>
        <v>0.619047619047619</v>
      </c>
      <c r="M9" s="855">
        <f>13/M11</f>
        <v>0.590909090909091</v>
      </c>
      <c r="N9" s="855">
        <f>13/N11</f>
        <v>0.565217391304348</v>
      </c>
      <c r="O9" s="855">
        <f>13/O11</f>
        <v>0.541666666666667</v>
      </c>
      <c r="P9" s="855">
        <f>13/P11</f>
        <v>0.52</v>
      </c>
      <c r="Q9" s="855">
        <f>13/Q11</f>
        <v>0.5</v>
      </c>
      <c r="R9" s="855">
        <f>13/R11</f>
        <v>0.481481481481482</v>
      </c>
      <c r="S9" s="855">
        <f>13/S11</f>
        <v>0.464285714285714</v>
      </c>
      <c r="T9" s="855">
        <f>13/T11</f>
        <v>0.448275862068966</v>
      </c>
      <c r="U9" s="855">
        <f>13/U11</f>
        <v>0.433333333333333</v>
      </c>
      <c r="V9" s="855">
        <f>13/V11</f>
        <v>0.419354838709678</v>
      </c>
      <c r="W9" s="855">
        <f>13/W11</f>
        <v>0.40625</v>
      </c>
      <c r="X9" s="855">
        <f>13/X11</f>
        <v>0.393939393939394</v>
      </c>
      <c r="Y9" s="855">
        <f>13/Y11</f>
        <v>0.382352941176471</v>
      </c>
      <c r="Z9" s="855">
        <f>13/Z11</f>
        <v>0.371428571428572</v>
      </c>
      <c r="AA9" s="859" t="s"/>
      <c r="AB9" s="859" t="s"/>
      <c r="AC9" s="859" t="s"/>
      <c r="AD9" s="859" t="s"/>
      <c r="AE9" s="859" t="s"/>
      <c r="AF9" s="859" t="s"/>
      <c r="AG9" s="859" t="s"/>
      <c r="AH9" s="859" t="s"/>
      <c r="AI9" s="859" t="s"/>
      <c r="AJ9" s="859" t="s"/>
      <c r="AK9" s="859" t="s"/>
      <c r="AL9" s="859" t="s"/>
      <c r="AM9" s="859" t="s"/>
      <c r="AN9" s="859" t="s"/>
      <c r="AO9" s="859" t="s"/>
      <c r="AP9" s="859" t="s"/>
      <c r="AQ9" s="859" t="s"/>
      <c r="AR9" s="859" t="s"/>
      <c r="AS9" s="859" t="s"/>
      <c r="AT9" s="859" t="s"/>
    </row>
    <row r="10" spans="1:46" customHeight="1">
      <c r="A10" s="679" t="s"/>
      <c r="B10" s="718" t="s"/>
      <c r="C10" s="851" t="s">
        <v>394</v>
      </c>
      <c r="D10" s="857">
        <v>1.01</v>
      </c>
      <c r="E10" s="857">
        <v>1.05</v>
      </c>
      <c r="F10" s="857">
        <v>1.09</v>
      </c>
      <c r="G10" s="857">
        <v>1.36</v>
      </c>
      <c r="H10" s="857">
        <v>1.41</v>
      </c>
      <c r="I10" s="857">
        <v>1.46</v>
      </c>
      <c r="J10" s="857">
        <v>1.5</v>
      </c>
      <c r="K10" s="857">
        <v>1.54</v>
      </c>
      <c r="L10" s="857">
        <v>1.81</v>
      </c>
      <c r="M10" s="857">
        <v>1.86</v>
      </c>
      <c r="N10" s="857">
        <v>1.91</v>
      </c>
      <c r="O10" s="857">
        <v>1.95</v>
      </c>
      <c r="P10" s="857">
        <v>1.99</v>
      </c>
      <c r="Q10" s="857">
        <v>2.25</v>
      </c>
      <c r="R10" s="857">
        <v>2.3</v>
      </c>
      <c r="S10" s="857">
        <v>2.35</v>
      </c>
      <c r="T10" s="857">
        <v>2.4</v>
      </c>
      <c r="U10" s="857">
        <v>2.44</v>
      </c>
      <c r="V10" s="857">
        <v>2.7</v>
      </c>
      <c r="W10" s="857">
        <v>2.76</v>
      </c>
      <c r="X10" s="857">
        <v>2.8</v>
      </c>
      <c r="Y10" s="857">
        <v>2.85</v>
      </c>
      <c r="Z10" s="857">
        <v>2.9</v>
      </c>
      <c r="AA10" s="860" t="s"/>
      <c r="AB10" s="860" t="s"/>
      <c r="AC10" s="860" t="s"/>
      <c r="AD10" s="860" t="s"/>
      <c r="AE10" s="860" t="s"/>
      <c r="AF10" s="860" t="s"/>
      <c r="AG10" s="860" t="s"/>
      <c r="AH10" s="860" t="s"/>
      <c r="AI10" s="860" t="s"/>
      <c r="AJ10" s="860" t="s"/>
      <c r="AK10" s="860" t="s"/>
      <c r="AL10" s="860" t="s"/>
      <c r="AM10" s="860" t="s"/>
      <c r="AN10" s="860" t="s"/>
      <c r="AO10" s="860" t="s"/>
      <c r="AP10" s="860" t="s"/>
      <c r="AQ10" s="860" t="s"/>
      <c r="AR10" s="860" t="s"/>
      <c r="AS10" s="860" t="s"/>
      <c r="AT10" s="860" t="s"/>
    </row>
    <row r="11" spans="1:46" customHeight="1">
      <c r="A11" s="679" t="s"/>
      <c r="B11" s="718" t="s"/>
      <c r="C11" s="851" t="s">
        <v>395</v>
      </c>
      <c r="D11" s="854">
        <v>13</v>
      </c>
      <c r="E11" s="854">
        <v>14</v>
      </c>
      <c r="F11" s="854">
        <v>15</v>
      </c>
      <c r="G11" s="854">
        <v>16</v>
      </c>
      <c r="H11" s="854">
        <v>17</v>
      </c>
      <c r="I11" s="854">
        <v>18</v>
      </c>
      <c r="J11" s="854">
        <v>19</v>
      </c>
      <c r="K11" s="854">
        <v>20</v>
      </c>
      <c r="L11" s="854">
        <v>21</v>
      </c>
      <c r="M11" s="854">
        <v>22</v>
      </c>
      <c r="N11" s="854">
        <v>23</v>
      </c>
      <c r="O11" s="854">
        <v>24</v>
      </c>
      <c r="P11" s="854">
        <v>25</v>
      </c>
      <c r="Q11" s="854">
        <v>26</v>
      </c>
      <c r="R11" s="854">
        <v>27</v>
      </c>
      <c r="S11" s="854">
        <v>28</v>
      </c>
      <c r="T11" s="854">
        <v>29</v>
      </c>
      <c r="U11" s="854">
        <v>30</v>
      </c>
      <c r="V11" s="854">
        <v>31</v>
      </c>
      <c r="W11" s="854">
        <v>32</v>
      </c>
      <c r="X11" s="854">
        <v>33</v>
      </c>
      <c r="Y11" s="854">
        <v>34</v>
      </c>
      <c r="Z11" s="854">
        <v>35</v>
      </c>
      <c r="AA11" s="856" t="s"/>
      <c r="AB11" s="856" t="s"/>
      <c r="AC11" s="856" t="s"/>
      <c r="AD11" s="856" t="s"/>
      <c r="AE11" s="856" t="s"/>
      <c r="AF11" s="856" t="s"/>
      <c r="AG11" s="856" t="s"/>
      <c r="AH11" s="856" t="s"/>
      <c r="AI11" s="856" t="s"/>
      <c r="AJ11" s="856" t="s"/>
      <c r="AK11" s="856" t="s"/>
      <c r="AL11" s="856" t="s"/>
      <c r="AM11" s="856" t="s"/>
      <c r="AN11" s="856" t="s"/>
      <c r="AO11" s="856" t="s"/>
      <c r="AP11" s="856" t="s"/>
      <c r="AQ11" s="856" t="s"/>
      <c r="AR11" s="856" t="s"/>
      <c r="AS11" s="856" t="s"/>
      <c r="AT11" s="856" t="s"/>
    </row>
    <row r="12" spans="1:46" customHeight="1">
      <c r="A12" s="679" t="s"/>
      <c r="B12" s="858" t="s">
        <v>398</v>
      </c>
      <c r="C12" s="851" t="s">
        <v>393</v>
      </c>
      <c r="D12" s="855">
        <v>1</v>
      </c>
      <c r="E12" s="855">
        <f>13/E14</f>
        <v>0.928571428571429</v>
      </c>
      <c r="F12" s="855">
        <f>13/F14</f>
        <v>0.866666666666667</v>
      </c>
      <c r="G12" s="855">
        <f>13/G14</f>
        <v>0.8125</v>
      </c>
      <c r="H12" s="855">
        <f>13/H14</f>
        <v>0.764705882352941</v>
      </c>
      <c r="I12" s="855">
        <f>13/I14</f>
        <v>0.722222222222222</v>
      </c>
      <c r="J12" s="855">
        <f>13/J14</f>
        <v>0.68421052631579</v>
      </c>
      <c r="K12" s="855">
        <f>13/K14</f>
        <v>0.65</v>
      </c>
      <c r="L12" s="855">
        <f>13/L14</f>
        <v>0.619047619047619</v>
      </c>
      <c r="M12" s="855">
        <f>13/M14</f>
        <v>0.590909090909091</v>
      </c>
      <c r="N12" s="855">
        <f>13/N14</f>
        <v>0.565217391304348</v>
      </c>
      <c r="O12" s="855">
        <f>13/O14</f>
        <v>0.541666666666667</v>
      </c>
      <c r="P12" s="855">
        <f>13/P14</f>
        <v>0.52</v>
      </c>
      <c r="Q12" s="855">
        <f>13/Q14</f>
        <v>0.5</v>
      </c>
      <c r="R12" s="855">
        <f>13/R14</f>
        <v>0.481481481481482</v>
      </c>
      <c r="S12" s="855">
        <f>13/S14</f>
        <v>0.464285714285714</v>
      </c>
      <c r="T12" s="855">
        <f>13/T14</f>
        <v>0.448275862068966</v>
      </c>
      <c r="U12" s="855">
        <f>13/U14</f>
        <v>0.433333333333333</v>
      </c>
      <c r="V12" s="855">
        <f>13/V14</f>
        <v>0.419354838709678</v>
      </c>
      <c r="W12" s="855">
        <f>13/W14</f>
        <v>0.40625</v>
      </c>
      <c r="X12" s="855">
        <f>13/X14</f>
        <v>0.393939393939394</v>
      </c>
      <c r="Y12" s="855">
        <f>13/Y14</f>
        <v>0.382352941176471</v>
      </c>
      <c r="Z12" s="855">
        <f>13/Z14</f>
        <v>0.371428571428572</v>
      </c>
      <c r="AA12" s="859" t="s"/>
      <c r="AB12" s="859" t="s"/>
      <c r="AC12" s="859" t="s"/>
      <c r="AD12" s="859" t="s"/>
      <c r="AE12" s="859" t="s"/>
      <c r="AF12" s="859" t="s"/>
      <c r="AG12" s="859" t="s"/>
      <c r="AH12" s="859" t="s"/>
      <c r="AI12" s="859" t="s"/>
      <c r="AJ12" s="859" t="s"/>
      <c r="AK12" s="859" t="s"/>
      <c r="AL12" s="859" t="s"/>
      <c r="AM12" s="859" t="s"/>
      <c r="AN12" s="859" t="s"/>
      <c r="AO12" s="859" t="s"/>
      <c r="AP12" s="859" t="s"/>
      <c r="AQ12" s="859" t="s"/>
      <c r="AR12" s="859" t="s"/>
      <c r="AS12" s="859" t="s"/>
      <c r="AT12" s="859" t="s"/>
    </row>
    <row r="13" spans="1:46" customHeight="1">
      <c r="A13" s="679" t="s"/>
      <c r="B13" s="718" t="s"/>
      <c r="C13" s="851" t="s">
        <v>394</v>
      </c>
      <c r="D13" s="857">
        <v>0.91</v>
      </c>
      <c r="E13" s="857">
        <f>D13/(D14-1)*(E14-1)</f>
        <v>0.985833333333334</v>
      </c>
      <c r="F13" s="857">
        <f>E13/(E14-1)*(F14-1)</f>
        <v>1.06166666666667</v>
      </c>
      <c r="G13" s="857">
        <f>F13/(F14-1)*(G14-1)</f>
        <v>1.1375</v>
      </c>
      <c r="H13" s="857">
        <f>G13/(G14-1)*(H14-1)</f>
        <v>1.21333333333333</v>
      </c>
      <c r="I13" s="857">
        <f>H13/(H14-1)*(I14-1)</f>
        <v>1.28916666666667</v>
      </c>
      <c r="J13" s="857">
        <f>I13/(I14-1)*(J14-1)</f>
        <v>1.365</v>
      </c>
      <c r="K13" s="857">
        <f>J13/(J14-1)*(K14-1)</f>
        <v>1.44083333333333</v>
      </c>
      <c r="L13" s="857">
        <f>K13/(K14-1)*(L14-1)</f>
        <v>1.51666666666667</v>
      </c>
      <c r="M13" s="857">
        <f>L13/(L14-1)*(M14-1)</f>
        <v>1.5925</v>
      </c>
      <c r="N13" s="857">
        <f>M13/(M14-1)*(N14-1)</f>
        <v>1.66833333333333</v>
      </c>
      <c r="O13" s="857">
        <f>N13/(N14-1)*(O14-1)</f>
        <v>1.74416666666667</v>
      </c>
      <c r="P13" s="857">
        <f>O13/(O14-1)*(P14-1)</f>
        <v>1.82</v>
      </c>
      <c r="Q13" s="857">
        <f>P13/(P14-1)*(Q14-1)</f>
        <v>1.89583333333333</v>
      </c>
      <c r="R13" s="857">
        <f>Q13/(Q14-1)*(R14-1)</f>
        <v>1.97166666666667</v>
      </c>
      <c r="S13" s="857">
        <f>R13/(R14-1)*(S14-1)</f>
        <v>2.0475</v>
      </c>
      <c r="T13" s="857">
        <f>S13/(S14-1)*(T14-1)</f>
        <v>2.12333333333333</v>
      </c>
      <c r="U13" s="857">
        <f>T13/(T14-1)*(U14-1)</f>
        <v>2.19916666666667</v>
      </c>
      <c r="V13" s="857">
        <f>U13/(U14-1)*(V14-1)</f>
        <v>2.275</v>
      </c>
      <c r="W13" s="857">
        <f>V13/(V14-1)*(W14-1)</f>
        <v>2.35083333333333</v>
      </c>
      <c r="X13" s="857">
        <f>W13/(W14-1)*(X14-1)</f>
        <v>2.42666666666667</v>
      </c>
      <c r="Y13" s="857">
        <f>X13/(X14-1)*(Y14-1)</f>
        <v>2.5025</v>
      </c>
      <c r="Z13" s="857">
        <f>Y13/(Y14-1)*(Z14-1)</f>
        <v>2.57833333333333</v>
      </c>
      <c r="AA13" s="860" t="s"/>
      <c r="AB13" s="860" t="s"/>
      <c r="AC13" s="860" t="s"/>
      <c r="AD13" s="860" t="s"/>
      <c r="AE13" s="860" t="s"/>
      <c r="AF13" s="860" t="s"/>
      <c r="AG13" s="860" t="s"/>
      <c r="AH13" s="860" t="s"/>
      <c r="AI13" s="860" t="s"/>
      <c r="AJ13" s="860" t="s"/>
      <c r="AK13" s="860" t="s"/>
      <c r="AL13" s="860" t="s"/>
      <c r="AM13" s="860" t="s"/>
      <c r="AN13" s="860" t="s"/>
      <c r="AO13" s="860" t="s"/>
      <c r="AP13" s="860" t="s"/>
      <c r="AQ13" s="860" t="s"/>
      <c r="AR13" s="860" t="s"/>
      <c r="AS13" s="860" t="s"/>
      <c r="AT13" s="860" t="s"/>
    </row>
    <row r="14" spans="1:46" customHeight="1">
      <c r="A14" s="679" t="s"/>
      <c r="B14" s="718" t="s"/>
      <c r="C14" s="851" t="s">
        <v>395</v>
      </c>
      <c r="D14" s="854">
        <v>13</v>
      </c>
      <c r="E14" s="854">
        <v>14</v>
      </c>
      <c r="F14" s="854">
        <v>15</v>
      </c>
      <c r="G14" s="854">
        <v>16</v>
      </c>
      <c r="H14" s="854">
        <v>17</v>
      </c>
      <c r="I14" s="854">
        <v>18</v>
      </c>
      <c r="J14" s="854">
        <v>19</v>
      </c>
      <c r="K14" s="854">
        <v>20</v>
      </c>
      <c r="L14" s="854">
        <v>21</v>
      </c>
      <c r="M14" s="854">
        <v>22</v>
      </c>
      <c r="N14" s="854">
        <v>23</v>
      </c>
      <c r="O14" s="854">
        <v>24</v>
      </c>
      <c r="P14" s="854">
        <v>25</v>
      </c>
      <c r="Q14" s="854">
        <v>26</v>
      </c>
      <c r="R14" s="854">
        <v>27</v>
      </c>
      <c r="S14" s="854">
        <v>28</v>
      </c>
      <c r="T14" s="854">
        <v>29</v>
      </c>
      <c r="U14" s="854">
        <v>30</v>
      </c>
      <c r="V14" s="854">
        <v>31</v>
      </c>
      <c r="W14" s="854">
        <v>32</v>
      </c>
      <c r="X14" s="854">
        <v>33</v>
      </c>
      <c r="Y14" s="854">
        <v>34</v>
      </c>
      <c r="Z14" s="854">
        <v>35</v>
      </c>
      <c r="AA14" s="856" t="s"/>
      <c r="AB14" s="856" t="s"/>
      <c r="AC14" s="856" t="s"/>
      <c r="AD14" s="856" t="s"/>
      <c r="AE14" s="856" t="s"/>
      <c r="AF14" s="856" t="s"/>
      <c r="AG14" s="856" t="s"/>
      <c r="AH14" s="856" t="s"/>
      <c r="AI14" s="856" t="s"/>
      <c r="AJ14" s="856" t="s"/>
      <c r="AK14" s="856" t="s"/>
      <c r="AL14" s="856" t="s"/>
      <c r="AM14" s="856" t="s"/>
      <c r="AN14" s="856" t="s"/>
      <c r="AO14" s="856" t="s"/>
      <c r="AP14" s="856" t="s"/>
      <c r="AQ14" s="856" t="s"/>
      <c r="AR14" s="856" t="s"/>
      <c r="AS14" s="856" t="s"/>
      <c r="AT14" s="856" t="s"/>
    </row>
    <row r="15" spans="1:46" customHeight="1">
      <c r="A15" s="679" t="s"/>
      <c r="B15" s="858" t="s">
        <v>399</v>
      </c>
      <c r="C15" s="851" t="s">
        <v>393</v>
      </c>
      <c r="D15" s="855">
        <v>1</v>
      </c>
      <c r="E15" s="855">
        <f>13/E17</f>
        <v>0.928571428571429</v>
      </c>
      <c r="F15" s="855">
        <f>13/F17</f>
        <v>0.866666666666667</v>
      </c>
      <c r="G15" s="855">
        <f>13/G17</f>
        <v>0.8125</v>
      </c>
      <c r="H15" s="855">
        <f>13/H17</f>
        <v>0.764705882352941</v>
      </c>
      <c r="I15" s="855">
        <f>13/I17</f>
        <v>0.722222222222222</v>
      </c>
      <c r="J15" s="855">
        <f>13/J17</f>
        <v>0.68421052631579</v>
      </c>
      <c r="K15" s="855">
        <f>13/K17</f>
        <v>0.65</v>
      </c>
      <c r="L15" s="855">
        <f>13/L17</f>
        <v>0.619047619047619</v>
      </c>
      <c r="M15" s="855">
        <f>13/M17</f>
        <v>0.590909090909091</v>
      </c>
      <c r="N15" s="855">
        <f>13/N17</f>
        <v>0.565217391304348</v>
      </c>
      <c r="O15" s="855">
        <f>13/O17</f>
        <v>0.541666666666667</v>
      </c>
      <c r="P15" s="855">
        <f>13/P17</f>
        <v>0.52</v>
      </c>
      <c r="Q15" s="855">
        <f>13/Q17</f>
        <v>0.5</v>
      </c>
      <c r="R15" s="855">
        <f>13/R17</f>
        <v>0.481481481481482</v>
      </c>
      <c r="S15" s="855">
        <f>13/S17</f>
        <v>0.464285714285714</v>
      </c>
      <c r="T15" s="855">
        <f>13/T17</f>
        <v>0.448275862068966</v>
      </c>
      <c r="U15" s="856" t="s"/>
      <c r="V15" s="856" t="s"/>
      <c r="W15" s="856" t="s"/>
      <c r="X15" s="856" t="s"/>
      <c r="Y15" s="856" t="s"/>
      <c r="Z15" s="856" t="s"/>
      <c r="AA15" s="856" t="s"/>
      <c r="AB15" s="856" t="s"/>
      <c r="AC15" s="856" t="s"/>
      <c r="AD15" s="856" t="s"/>
      <c r="AE15" s="856" t="s"/>
      <c r="AF15" s="856" t="s"/>
      <c r="AG15" s="856" t="s"/>
      <c r="AH15" s="856" t="s"/>
      <c r="AI15" s="856" t="s"/>
      <c r="AJ15" s="856" t="s"/>
      <c r="AK15" s="856" t="s"/>
      <c r="AL15" s="856" t="s"/>
      <c r="AM15" s="856" t="s"/>
      <c r="AN15" s="856" t="s"/>
      <c r="AO15" s="856" t="s"/>
      <c r="AP15" s="856" t="s"/>
      <c r="AQ15" s="856" t="s"/>
      <c r="AR15" s="856" t="s"/>
      <c r="AS15" s="856" t="s"/>
      <c r="AT15" s="856" t="s"/>
    </row>
    <row r="16" spans="1:46" customHeight="1">
      <c r="A16" s="679" t="s"/>
      <c r="B16" s="718" t="s"/>
      <c r="C16" s="851" t="s">
        <v>394</v>
      </c>
      <c r="D16" s="857">
        <v>1</v>
      </c>
      <c r="E16" s="857">
        <f>D16/(D17-1)*(E17-1)</f>
        <v>1.08333333333333</v>
      </c>
      <c r="F16" s="857">
        <f>E16/(E17-1)*(F17-1)</f>
        <v>1.16666666666667</v>
      </c>
      <c r="G16" s="857">
        <f>F16/(F17-1)*(G17-1)</f>
        <v>1.25</v>
      </c>
      <c r="H16" s="857">
        <f>G16/(G17-1)*(H17-1)</f>
        <v>1.33333333333333</v>
      </c>
      <c r="I16" s="857">
        <f>H16/(H17-1)*(I17-1)</f>
        <v>1.41666666666667</v>
      </c>
      <c r="J16" s="857">
        <f>I16/(I17-1)*(J17-1)</f>
        <v>1.5</v>
      </c>
      <c r="K16" s="857">
        <f>J16/(J17-1)*(K17-1)</f>
        <v>1.58333333333333</v>
      </c>
      <c r="L16" s="857">
        <f>K16/(K17-1)*(L17-1)</f>
        <v>1.66666666666667</v>
      </c>
      <c r="M16" s="857">
        <f>L16/(L17-1)*(M17-1)</f>
        <v>1.75</v>
      </c>
      <c r="N16" s="857">
        <f>M16/(M17-1)*(N17-1)</f>
        <v>1.83333333333333</v>
      </c>
      <c r="O16" s="857">
        <f>N16/(N17-1)*(O17-1)</f>
        <v>1.91666666666667</v>
      </c>
      <c r="P16" s="857">
        <f>O16/(O17-1)*(P17-1)</f>
        <v>2</v>
      </c>
      <c r="Q16" s="857">
        <f>P16/(P17-1)*(Q17-1)</f>
        <v>2.08333333333333</v>
      </c>
      <c r="R16" s="857">
        <f>Q16/(Q17-1)*(R17-1)</f>
        <v>2.16666666666667</v>
      </c>
      <c r="S16" s="857">
        <f>R16/(R17-1)*(S17-1)</f>
        <v>2.25</v>
      </c>
      <c r="T16" s="857">
        <f>S16/(S17-1)*(T17-1)</f>
        <v>2.33333333333333</v>
      </c>
      <c r="U16" s="856" t="s"/>
      <c r="V16" s="856" t="s"/>
      <c r="W16" s="856" t="s"/>
      <c r="X16" s="856" t="s"/>
      <c r="Y16" s="856" t="s"/>
      <c r="Z16" s="856" t="s"/>
      <c r="AA16" s="856" t="s"/>
      <c r="AB16" s="856" t="s"/>
      <c r="AC16" s="856" t="s"/>
      <c r="AD16" s="856" t="s"/>
      <c r="AE16" s="856" t="s"/>
      <c r="AF16" s="856" t="s"/>
      <c r="AG16" s="856" t="s"/>
      <c r="AH16" s="856" t="s"/>
      <c r="AI16" s="856" t="s"/>
      <c r="AJ16" s="856" t="s"/>
      <c r="AK16" s="856" t="s"/>
      <c r="AL16" s="856" t="s"/>
      <c r="AM16" s="856" t="s"/>
      <c r="AN16" s="856" t="s"/>
      <c r="AO16" s="856" t="s"/>
      <c r="AP16" s="856" t="s"/>
      <c r="AQ16" s="856" t="s"/>
      <c r="AR16" s="856" t="s"/>
      <c r="AS16" s="856" t="s"/>
      <c r="AT16" s="856" t="s"/>
    </row>
    <row r="17" spans="1:46" customHeight="1">
      <c r="A17" s="679" t="s"/>
      <c r="B17" s="718" t="s"/>
      <c r="C17" s="851" t="s">
        <v>395</v>
      </c>
      <c r="D17" s="854">
        <v>13</v>
      </c>
      <c r="E17" s="854">
        <v>14</v>
      </c>
      <c r="F17" s="854">
        <v>15</v>
      </c>
      <c r="G17" s="854">
        <v>16</v>
      </c>
      <c r="H17" s="854">
        <v>17</v>
      </c>
      <c r="I17" s="854">
        <v>18</v>
      </c>
      <c r="J17" s="854">
        <v>19</v>
      </c>
      <c r="K17" s="854">
        <v>20</v>
      </c>
      <c r="L17" s="854">
        <v>21</v>
      </c>
      <c r="M17" s="854">
        <v>22</v>
      </c>
      <c r="N17" s="854">
        <v>23</v>
      </c>
      <c r="O17" s="854">
        <v>24</v>
      </c>
      <c r="P17" s="854">
        <v>25</v>
      </c>
      <c r="Q17" s="854">
        <v>26</v>
      </c>
      <c r="R17" s="854">
        <v>27</v>
      </c>
      <c r="S17" s="854">
        <v>28</v>
      </c>
      <c r="T17" s="854">
        <v>29</v>
      </c>
      <c r="U17" s="856" t="s"/>
      <c r="V17" s="856" t="s"/>
      <c r="W17" s="856" t="s"/>
      <c r="X17" s="856" t="s"/>
      <c r="Y17" s="856" t="s"/>
      <c r="Z17" s="856" t="s"/>
      <c r="AA17" s="856" t="s"/>
      <c r="AB17" s="856" t="s"/>
      <c r="AC17" s="856" t="s"/>
      <c r="AD17" s="856" t="s"/>
      <c r="AE17" s="856" t="s"/>
      <c r="AF17" s="856" t="s"/>
      <c r="AG17" s="856" t="s"/>
      <c r="AH17" s="856" t="s"/>
      <c r="AI17" s="856" t="s"/>
      <c r="AJ17" s="856" t="s"/>
      <c r="AK17" s="856" t="s"/>
      <c r="AL17" s="856" t="s"/>
      <c r="AM17" s="856" t="s"/>
      <c r="AN17" s="856" t="s"/>
      <c r="AO17" s="856" t="s"/>
      <c r="AP17" s="856" t="s"/>
      <c r="AQ17" s="856" t="s"/>
      <c r="AR17" s="856" t="s"/>
      <c r="AS17" s="856" t="s"/>
      <c r="AT17" s="856" t="s"/>
    </row>
    <row r="18" spans="1:46" customHeight="1">
      <c r="A18" s="679" t="s"/>
      <c r="B18" s="858" t="s">
        <v>400</v>
      </c>
      <c r="C18" s="851" t="s">
        <v>393</v>
      </c>
      <c r="D18" s="855">
        <v>1</v>
      </c>
      <c r="E18" s="855">
        <f>13/E20</f>
        <v>0.928571428571429</v>
      </c>
      <c r="F18" s="855">
        <f>13/F20</f>
        <v>0.866666666666667</v>
      </c>
      <c r="G18" s="855">
        <f>13/G20</f>
        <v>0.8125</v>
      </c>
      <c r="H18" s="855">
        <f>13/H20</f>
        <v>0.764705882352941</v>
      </c>
      <c r="I18" s="855">
        <f>13/I20</f>
        <v>0.722222222222222</v>
      </c>
      <c r="J18" s="855">
        <f>13/J20</f>
        <v>0.68421052631579</v>
      </c>
      <c r="K18" s="855">
        <f>13/K20</f>
        <v>0.65</v>
      </c>
      <c r="L18" s="855">
        <f>13/L20</f>
        <v>0.619047619047619</v>
      </c>
      <c r="M18" s="855">
        <f>13/M20</f>
        <v>0.590909090909091</v>
      </c>
      <c r="N18" s="855">
        <f>13/N20</f>
        <v>0.565217391304348</v>
      </c>
      <c r="O18" s="855">
        <f>13/O20</f>
        <v>0.541666666666667</v>
      </c>
      <c r="P18" s="855">
        <f>13/P20</f>
        <v>0.52</v>
      </c>
      <c r="Q18" s="855">
        <f>13/Q20</f>
        <v>0.5</v>
      </c>
      <c r="R18" s="855">
        <f>13/R20</f>
        <v>0.481481481481482</v>
      </c>
      <c r="S18" s="856" t="s"/>
      <c r="T18" s="856" t="s"/>
      <c r="U18" s="856" t="s"/>
      <c r="V18" s="856" t="s"/>
      <c r="W18" s="856" t="s"/>
      <c r="X18" s="856" t="s"/>
      <c r="Y18" s="856" t="s"/>
      <c r="Z18" s="856" t="s"/>
      <c r="AA18" s="856" t="s"/>
      <c r="AB18" s="856" t="s"/>
      <c r="AC18" s="856" t="s"/>
      <c r="AD18" s="856" t="s"/>
      <c r="AE18" s="856" t="s"/>
      <c r="AF18" s="856" t="s"/>
      <c r="AG18" s="856" t="s"/>
      <c r="AH18" s="856" t="s"/>
      <c r="AI18" s="856" t="s"/>
      <c r="AJ18" s="856" t="s"/>
      <c r="AK18" s="856" t="s"/>
      <c r="AL18" s="856" t="s"/>
      <c r="AM18" s="856" t="s"/>
      <c r="AN18" s="856" t="s"/>
      <c r="AO18" s="856" t="s"/>
      <c r="AP18" s="856" t="s"/>
      <c r="AQ18" s="856" t="s"/>
      <c r="AR18" s="856" t="s"/>
      <c r="AS18" s="856" t="s"/>
      <c r="AT18" s="856" t="s"/>
    </row>
    <row r="19" spans="1:46" customHeight="1">
      <c r="A19" s="679" t="s"/>
      <c r="B19" s="718" t="s"/>
      <c r="C19" s="851" t="s">
        <v>394</v>
      </c>
      <c r="D19" s="857">
        <v>1</v>
      </c>
      <c r="E19" s="857">
        <f>D19/(D20-1)*(E20-1)</f>
        <v>1.08333333333333</v>
      </c>
      <c r="F19" s="857">
        <f>E19/(E20-1)*(F20-1)</f>
        <v>1.16666666666667</v>
      </c>
      <c r="G19" s="857">
        <f>F19/(F20-1)*(G20-1)</f>
        <v>1.25</v>
      </c>
      <c r="H19" s="857">
        <f>G19/(G20-1)*(H20-1)</f>
        <v>1.33333333333333</v>
      </c>
      <c r="I19" s="857">
        <f>H19/(H20-1)*(I20-1)</f>
        <v>1.41666666666667</v>
      </c>
      <c r="J19" s="857">
        <f>I19/(I20-1)*(J20-1)</f>
        <v>1.5</v>
      </c>
      <c r="K19" s="857">
        <f>J19/(J20-1)*(K20-1)</f>
        <v>1.58333333333333</v>
      </c>
      <c r="L19" s="857">
        <f>K19/(K20-1)*(L20-1)</f>
        <v>1.66666666666667</v>
      </c>
      <c r="M19" s="857">
        <f>L19/(L20-1)*(M20-1)</f>
        <v>1.75</v>
      </c>
      <c r="N19" s="857">
        <f>M19/(M20-1)*(N20-1)</f>
        <v>1.83333333333333</v>
      </c>
      <c r="O19" s="857">
        <f>N19/(N20-1)*(O20-1)</f>
        <v>1.91666666666667</v>
      </c>
      <c r="P19" s="857">
        <f>O19/(O20-1)*(P20-1)</f>
        <v>2</v>
      </c>
      <c r="Q19" s="857">
        <f>P19/(P20-1)*(Q20-1)</f>
        <v>2.08333333333333</v>
      </c>
      <c r="R19" s="857">
        <f>Q19/(Q20-1)*(R20-1)</f>
        <v>2.16666666666667</v>
      </c>
      <c r="S19" s="856" t="s"/>
      <c r="T19" s="856" t="s"/>
      <c r="U19" s="856" t="s"/>
      <c r="V19" s="856" t="s"/>
      <c r="W19" s="856" t="s"/>
      <c r="X19" s="856" t="s"/>
      <c r="Y19" s="856" t="s"/>
      <c r="Z19" s="856" t="s"/>
      <c r="AA19" s="856" t="s"/>
      <c r="AB19" s="856" t="s"/>
      <c r="AC19" s="856" t="s"/>
      <c r="AD19" s="856" t="s"/>
      <c r="AE19" s="856" t="s"/>
      <c r="AF19" s="856" t="s"/>
      <c r="AG19" s="856" t="s"/>
      <c r="AH19" s="856" t="s"/>
      <c r="AI19" s="856" t="s"/>
      <c r="AJ19" s="856" t="s"/>
      <c r="AK19" s="856" t="s"/>
      <c r="AL19" s="856" t="s"/>
      <c r="AM19" s="856" t="s"/>
      <c r="AN19" s="856" t="s"/>
      <c r="AO19" s="856" t="s"/>
      <c r="AP19" s="856" t="s"/>
      <c r="AQ19" s="856" t="s"/>
      <c r="AR19" s="856" t="s"/>
      <c r="AS19" s="856" t="s"/>
      <c r="AT19" s="856" t="s"/>
    </row>
    <row r="20" spans="1:46" customHeight="1">
      <c r="A20" s="679" t="s"/>
      <c r="B20" s="718" t="s"/>
      <c r="C20" s="851" t="s">
        <v>395</v>
      </c>
      <c r="D20" s="854">
        <v>13</v>
      </c>
      <c r="E20" s="854">
        <v>14</v>
      </c>
      <c r="F20" s="854">
        <v>15</v>
      </c>
      <c r="G20" s="854">
        <v>16</v>
      </c>
      <c r="H20" s="854">
        <v>17</v>
      </c>
      <c r="I20" s="854">
        <v>18</v>
      </c>
      <c r="J20" s="854">
        <v>19</v>
      </c>
      <c r="K20" s="854">
        <v>20</v>
      </c>
      <c r="L20" s="854">
        <v>21</v>
      </c>
      <c r="M20" s="854">
        <v>22</v>
      </c>
      <c r="N20" s="854">
        <v>23</v>
      </c>
      <c r="O20" s="854">
        <v>24</v>
      </c>
      <c r="P20" s="854">
        <v>25</v>
      </c>
      <c r="Q20" s="854">
        <v>26</v>
      </c>
      <c r="R20" s="854">
        <v>27</v>
      </c>
      <c r="S20" s="856" t="s"/>
      <c r="T20" s="856" t="s"/>
      <c r="U20" s="856" t="s"/>
      <c r="V20" s="856" t="s"/>
      <c r="W20" s="856" t="s"/>
      <c r="X20" s="856" t="s"/>
      <c r="Y20" s="856" t="s"/>
      <c r="Z20" s="856" t="s"/>
      <c r="AA20" s="856" t="s"/>
      <c r="AB20" s="856" t="s"/>
      <c r="AC20" s="856" t="s"/>
      <c r="AD20" s="856" t="s"/>
      <c r="AE20" s="856" t="s"/>
      <c r="AF20" s="856" t="s"/>
      <c r="AG20" s="856" t="s"/>
      <c r="AH20" s="856" t="s"/>
      <c r="AI20" s="856" t="s"/>
      <c r="AJ20" s="856" t="s"/>
      <c r="AK20" s="856" t="s"/>
      <c r="AL20" s="856" t="s"/>
      <c r="AM20" s="856" t="s"/>
      <c r="AN20" s="856" t="s"/>
      <c r="AO20" s="856" t="s"/>
      <c r="AP20" s="856" t="s"/>
      <c r="AQ20" s="856" t="s"/>
      <c r="AR20" s="856" t="s"/>
      <c r="AS20" s="856" t="s"/>
      <c r="AT20" s="856" t="s"/>
    </row>
    <row r="21" spans="1:46" customHeight="1">
      <c r="A21" s="679" t="s"/>
      <c r="B21" s="858" t="s">
        <v>401</v>
      </c>
      <c r="C21" s="851" t="s">
        <v>393</v>
      </c>
      <c r="D21" s="855">
        <v>1</v>
      </c>
      <c r="E21" s="855">
        <f>12/E23</f>
        <v>0.923076923076923</v>
      </c>
      <c r="F21" s="855">
        <f>12/F23</f>
        <v>0.857142857142857</v>
      </c>
      <c r="G21" s="855">
        <f>12/G23</f>
        <v>0.8</v>
      </c>
      <c r="H21" s="855">
        <f>12/H23</f>
        <v>0.75</v>
      </c>
      <c r="I21" s="855">
        <f>12/I23</f>
        <v>0.705882352941177</v>
      </c>
      <c r="J21" s="855">
        <f>12/J23</f>
        <v>0.666666666666667</v>
      </c>
      <c r="K21" s="855">
        <f>12/K23</f>
        <v>0.631578947368421</v>
      </c>
      <c r="L21" s="855">
        <f>12/L23</f>
        <v>0.6</v>
      </c>
      <c r="M21" s="855">
        <f>12/M23</f>
        <v>0.571428571428572</v>
      </c>
      <c r="N21" s="855">
        <f>12/N23</f>
        <v>0.545454545454546</v>
      </c>
      <c r="O21" s="855">
        <f>12/O23</f>
        <v>0.521739130434783</v>
      </c>
      <c r="P21" s="855">
        <f>12/P23</f>
        <v>0.5</v>
      </c>
      <c r="Q21" s="855">
        <f>12/Q23</f>
        <v>0.48</v>
      </c>
      <c r="R21" s="856" t="s"/>
      <c r="S21" s="856" t="s"/>
      <c r="T21" s="856" t="s"/>
      <c r="U21" s="856" t="s"/>
      <c r="V21" s="856" t="s"/>
      <c r="W21" s="856" t="s"/>
      <c r="X21" s="856" t="s"/>
      <c r="Y21" s="856" t="s"/>
      <c r="Z21" s="856" t="s"/>
      <c r="AA21" s="856" t="s"/>
      <c r="AB21" s="856" t="s"/>
      <c r="AC21" s="856" t="s"/>
      <c r="AD21" s="856" t="s"/>
      <c r="AE21" s="856" t="s"/>
      <c r="AF21" s="856" t="s"/>
      <c r="AG21" s="856" t="s"/>
      <c r="AH21" s="856" t="s"/>
      <c r="AI21" s="856" t="s"/>
      <c r="AJ21" s="856" t="s"/>
      <c r="AK21" s="856" t="s"/>
      <c r="AL21" s="856" t="s"/>
      <c r="AM21" s="856" t="s"/>
      <c r="AN21" s="856" t="s"/>
      <c r="AO21" s="856" t="s"/>
      <c r="AP21" s="856" t="s"/>
      <c r="AQ21" s="856" t="s"/>
      <c r="AR21" s="856" t="s"/>
      <c r="AS21" s="856" t="s"/>
      <c r="AT21" s="856" t="s"/>
    </row>
    <row r="22" spans="1:46" customHeight="1">
      <c r="A22" s="679" t="s"/>
      <c r="B22" s="718" t="s"/>
      <c r="C22" s="851" t="s">
        <v>394</v>
      </c>
      <c r="D22" s="857">
        <v>1.1</v>
      </c>
      <c r="E22" s="857">
        <f>D22/(D23-1)*(E23-1)</f>
        <v>1.2</v>
      </c>
      <c r="F22" s="857">
        <f>E22/(E23-1)*(F23-1)</f>
        <v>1.3</v>
      </c>
      <c r="G22" s="857">
        <f>F22/(F23-1)*(G23-1)</f>
        <v>1.4</v>
      </c>
      <c r="H22" s="857">
        <f>G22/(G23-1)*(H23-1)</f>
        <v>1.5</v>
      </c>
      <c r="I22" s="857">
        <f>H22/(H23-1)*(I23-1)</f>
        <v>1.6</v>
      </c>
      <c r="J22" s="857">
        <f>I22/(I23-1)*(J23-1)</f>
        <v>1.7</v>
      </c>
      <c r="K22" s="857">
        <f>J22/(J23-1)*(K23-1)</f>
        <v>1.8</v>
      </c>
      <c r="L22" s="857">
        <f>K22/(K23-1)*(L23-1)</f>
        <v>1.9</v>
      </c>
      <c r="M22" s="857">
        <f>L22/(L23-1)*(M23-1)</f>
        <v>2</v>
      </c>
      <c r="N22" s="857">
        <f>M22/(M23-1)*(N23-1)</f>
        <v>2.1</v>
      </c>
      <c r="O22" s="857">
        <f>N22/(N23-1)*(O23-1)</f>
        <v>2.2</v>
      </c>
      <c r="P22" s="857">
        <f>O22/(O23-1)*(P23-1)</f>
        <v>2.3</v>
      </c>
      <c r="Q22" s="857">
        <f>P22/(P23-1)*(Q23-1)</f>
        <v>2.4</v>
      </c>
      <c r="R22" s="856" t="s"/>
      <c r="S22" s="856" t="s"/>
      <c r="T22" s="856" t="s"/>
      <c r="U22" s="856" t="s"/>
      <c r="V22" s="856" t="s"/>
      <c r="W22" s="856" t="s"/>
      <c r="X22" s="856" t="s"/>
      <c r="Y22" s="856" t="s"/>
      <c r="Z22" s="856" t="s"/>
      <c r="AA22" s="856" t="s"/>
      <c r="AB22" s="856" t="s"/>
      <c r="AC22" s="856" t="s"/>
      <c r="AD22" s="856" t="s"/>
      <c r="AE22" s="856" t="s"/>
      <c r="AF22" s="856" t="s"/>
      <c r="AG22" s="856" t="s"/>
      <c r="AH22" s="856" t="s"/>
      <c r="AI22" s="856" t="s"/>
      <c r="AJ22" s="856" t="s"/>
      <c r="AK22" s="856" t="s"/>
      <c r="AL22" s="856" t="s"/>
      <c r="AM22" s="856" t="s"/>
      <c r="AN22" s="856" t="s"/>
      <c r="AO22" s="856" t="s"/>
      <c r="AP22" s="856" t="s"/>
      <c r="AQ22" s="856" t="s"/>
      <c r="AR22" s="856" t="s"/>
      <c r="AS22" s="856" t="s"/>
      <c r="AT22" s="856" t="s"/>
    </row>
    <row r="23" spans="1:46" customHeight="1">
      <c r="A23" s="679" t="s"/>
      <c r="B23" s="718" t="s"/>
      <c r="C23" s="851" t="s">
        <v>395</v>
      </c>
      <c r="D23" s="854">
        <v>12</v>
      </c>
      <c r="E23" s="854">
        <v>13</v>
      </c>
      <c r="F23" s="854">
        <v>14</v>
      </c>
      <c r="G23" s="854">
        <v>15</v>
      </c>
      <c r="H23" s="854">
        <v>16</v>
      </c>
      <c r="I23" s="854">
        <v>17</v>
      </c>
      <c r="J23" s="854">
        <v>18</v>
      </c>
      <c r="K23" s="854">
        <v>19</v>
      </c>
      <c r="L23" s="854">
        <v>20</v>
      </c>
      <c r="M23" s="854">
        <v>21</v>
      </c>
      <c r="N23" s="854">
        <v>22</v>
      </c>
      <c r="O23" s="854">
        <v>23</v>
      </c>
      <c r="P23" s="854">
        <v>24</v>
      </c>
      <c r="Q23" s="854">
        <v>25</v>
      </c>
      <c r="R23" s="856" t="s"/>
      <c r="S23" s="856" t="s"/>
      <c r="T23" s="856" t="s"/>
      <c r="U23" s="856" t="s"/>
      <c r="V23" s="856" t="s"/>
      <c r="W23" s="856" t="s"/>
      <c r="X23" s="856" t="s"/>
      <c r="Y23" s="856" t="s"/>
      <c r="Z23" s="856" t="s"/>
      <c r="AA23" s="856" t="s"/>
      <c r="AB23" s="856" t="s"/>
      <c r="AC23" s="856" t="s"/>
      <c r="AD23" s="856" t="s"/>
      <c r="AE23" s="856" t="s"/>
      <c r="AF23" s="856" t="s"/>
      <c r="AG23" s="856" t="s"/>
      <c r="AH23" s="856" t="s"/>
      <c r="AI23" s="856" t="s"/>
      <c r="AJ23" s="856" t="s"/>
      <c r="AK23" s="856" t="s"/>
      <c r="AL23" s="856" t="s"/>
      <c r="AM23" s="856" t="s"/>
      <c r="AN23" s="856" t="s"/>
      <c r="AO23" s="856" t="s"/>
      <c r="AP23" s="856" t="s"/>
      <c r="AQ23" s="856" t="s"/>
      <c r="AR23" s="856" t="s"/>
      <c r="AS23" s="856" t="s"/>
      <c r="AT23" s="856" t="s"/>
    </row>
    <row r="24" spans="1:18" customHeight="1">
      <c r="A24" s="679" t="s"/>
      <c r="B24" s="858" t="s">
        <v>402</v>
      </c>
      <c r="C24" s="851" t="s">
        <v>393</v>
      </c>
      <c r="D24" s="861">
        <v>1</v>
      </c>
      <c r="E24" s="861">
        <f>9/E26</f>
        <v>1</v>
      </c>
      <c r="F24" s="861">
        <f>9/F26</f>
        <v>0.9</v>
      </c>
      <c r="G24" s="861">
        <f>9/G26</f>
        <v>0.818181818181818</v>
      </c>
      <c r="H24" s="861">
        <f>9/H26</f>
        <v>0.75</v>
      </c>
      <c r="I24" s="861">
        <f>9/I26</f>
        <v>0.692307692307692</v>
      </c>
      <c r="J24" s="861">
        <f>9/J26</f>
        <v>0.642857142857143</v>
      </c>
      <c r="K24" s="861">
        <f>9/K26</f>
        <v>0.6</v>
      </c>
      <c r="L24" s="861">
        <f>9/L26</f>
        <v>0.5625</v>
      </c>
      <c r="M24" s="861">
        <f>9/M26</f>
        <v>0.529411764705883</v>
      </c>
      <c r="N24" s="861">
        <f>9/N26</f>
        <v>0.5</v>
      </c>
      <c r="O24" s="861">
        <f>9/O26</f>
        <v>0.473684210526316</v>
      </c>
      <c r="P24" s="861">
        <f>9/P26</f>
        <v>0.45</v>
      </c>
      <c r="Q24" s="861">
        <f>9/Q26</f>
        <v>0.428571428571429</v>
      </c>
      <c r="R24" s="861">
        <f>9/R26</f>
        <v>0.409090909090909</v>
      </c>
    </row>
    <row r="25" spans="1:18" customHeight="1">
      <c r="A25" s="679" t="s"/>
      <c r="B25" s="718" t="s"/>
      <c r="C25" s="851" t="s">
        <v>394</v>
      </c>
      <c r="D25" s="852">
        <v>0.89</v>
      </c>
      <c r="E25" s="852">
        <f>D25/(D26-1)*(E26-1)</f>
        <v>1.01714285714286</v>
      </c>
      <c r="F25" s="852">
        <f>E25/(E26-1)*(F26-1)</f>
        <v>1.14428571428571</v>
      </c>
      <c r="G25" s="852">
        <f>F25/(F26-1)*(G26-1)</f>
        <v>1.27142857142857</v>
      </c>
      <c r="H25" s="852">
        <f>G25/(G26-1)*(H26-1)</f>
        <v>1.39857142857143</v>
      </c>
      <c r="I25" s="852">
        <f>H25/(H26-1)*(I26-1)</f>
        <v>1.52571428571429</v>
      </c>
      <c r="J25" s="852">
        <f>I25/(I26-1)*(J26-1)</f>
        <v>1.65285714285714</v>
      </c>
      <c r="K25" s="852">
        <f>J25/(J26-1)*(K26-1)</f>
        <v>1.78</v>
      </c>
      <c r="L25" s="852">
        <f>K25/(K26-1)*(L26-1)</f>
        <v>1.90714285714286</v>
      </c>
      <c r="M25" s="852">
        <f>L25/(L26-1)*(M26-1)</f>
        <v>2.03428571428571</v>
      </c>
      <c r="N25" s="852">
        <f>M25/(M26-1)*(N26-1)</f>
        <v>2.16142857142857</v>
      </c>
      <c r="O25" s="852">
        <f>N25/(N26-1)*(O26-1)</f>
        <v>2.28857142857143</v>
      </c>
      <c r="P25" s="852">
        <f>O25/(O26-1)*(P26-1)</f>
        <v>2.41571428571429</v>
      </c>
      <c r="Q25" s="852">
        <f>P25/(P26-1)*(Q26-1)</f>
        <v>2.54285714285714</v>
      </c>
      <c r="R25" s="852">
        <f>Q25/(Q26-1)*(R26-1)</f>
        <v>2.67</v>
      </c>
    </row>
    <row r="26" spans="1:18" customHeight="1">
      <c r="A26" s="679" t="s"/>
      <c r="B26" s="718" t="s"/>
      <c r="C26" s="851" t="s">
        <v>395</v>
      </c>
      <c r="D26" s="851">
        <v>8</v>
      </c>
      <c r="E26" s="851">
        <v>9</v>
      </c>
      <c r="F26" s="851">
        <v>10</v>
      </c>
      <c r="G26" s="851">
        <v>11</v>
      </c>
      <c r="H26" s="851">
        <v>12</v>
      </c>
      <c r="I26" s="851">
        <v>13</v>
      </c>
      <c r="J26" s="851">
        <v>14</v>
      </c>
      <c r="K26" s="851">
        <v>15</v>
      </c>
      <c r="L26" s="851">
        <v>16</v>
      </c>
      <c r="M26" s="851">
        <v>17</v>
      </c>
      <c r="N26" s="851">
        <v>18</v>
      </c>
      <c r="O26" s="851">
        <v>19</v>
      </c>
      <c r="P26" s="851">
        <v>20</v>
      </c>
      <c r="Q26" s="851">
        <v>21</v>
      </c>
      <c r="R26" s="851">
        <v>22</v>
      </c>
    </row>
    <row r="27" spans="1:5" customHeight="1">
      <c r="A27" s="679" t="s"/>
      <c r="B27" s="858" t="s">
        <v>403</v>
      </c>
      <c r="C27" s="851" t="s">
        <v>393</v>
      </c>
      <c r="D27" s="861">
        <v>1</v>
      </c>
      <c r="E27" s="861">
        <f>9/E29</f>
        <v>0.9</v>
      </c>
    </row>
    <row r="28" spans="1:5" customHeight="1">
      <c r="A28" s="679" t="s"/>
      <c r="B28" s="718" t="s"/>
      <c r="C28" s="851" t="s">
        <v>394</v>
      </c>
      <c r="D28" s="852">
        <v>1</v>
      </c>
      <c r="E28" s="852">
        <f>D28/(D29-1)*(E29-1)</f>
        <v>1.125</v>
      </c>
    </row>
    <row r="29" spans="1:20" customHeight="1">
      <c r="A29" s="679" t="s"/>
      <c r="B29" s="718" t="s"/>
      <c r="C29" s="851" t="s">
        <v>395</v>
      </c>
      <c r="D29" s="851">
        <v>9</v>
      </c>
      <c r="E29" s="851">
        <v>10</v>
      </c>
      <c r="Q29" s="862" t="s"/>
      <c r="R29" s="862" t="s"/>
      <c r="S29" s="862" t="s"/>
      <c r="T29" s="862" t="s"/>
    </row>
    <row r="30" spans="1:21" customHeight="1">
      <c r="A30" s="679" t="s"/>
      <c r="B30" s="858" t="s">
        <v>404</v>
      </c>
      <c r="C30" s="851" t="s">
        <v>393</v>
      </c>
      <c r="D30" s="861">
        <v>1</v>
      </c>
      <c r="E30" s="861">
        <f>12/E32</f>
        <v>0.923076923076923</v>
      </c>
      <c r="F30" s="861">
        <f>12/F32</f>
        <v>0.857142857142857</v>
      </c>
      <c r="G30" s="861">
        <f>12/G32</f>
        <v>0.8</v>
      </c>
      <c r="H30" s="861">
        <f>12/H32</f>
        <v>0.75</v>
      </c>
      <c r="I30" s="861">
        <f>12/I32</f>
        <v>0.705882352941177</v>
      </c>
      <c r="J30" s="861">
        <f>12/J32</f>
        <v>0.666666666666667</v>
      </c>
      <c r="K30" s="861">
        <f>12/K32</f>
        <v>0.631578947368421</v>
      </c>
      <c r="L30" s="861">
        <f>12/L32</f>
        <v>0.6</v>
      </c>
      <c r="M30" s="861">
        <f>12/M32</f>
        <v>0.571428571428572</v>
      </c>
      <c r="N30" s="861">
        <f>12/N32</f>
        <v>0.545454545454546</v>
      </c>
      <c r="O30" s="861">
        <f>12/O32</f>
        <v>0.521739130434783</v>
      </c>
      <c r="P30" s="861">
        <f>12/P32</f>
        <v>0.5</v>
      </c>
      <c r="Q30" s="863">
        <f>12/Q32</f>
        <v>0.48</v>
      </c>
      <c r="R30" s="863">
        <f>12/R32</f>
        <v>0.461538461538462</v>
      </c>
      <c r="S30" s="863">
        <f>12/S32</f>
        <v>0.444444444444445</v>
      </c>
      <c r="T30" s="862" t="s"/>
      <c r="U30" s="864" t="s"/>
    </row>
    <row r="31" spans="1:21" customHeight="1">
      <c r="A31" s="679" t="s"/>
      <c r="B31" s="718" t="s"/>
      <c r="C31" s="851" t="s">
        <v>394</v>
      </c>
      <c r="D31" s="852">
        <v>0.83</v>
      </c>
      <c r="E31" s="852">
        <f>D31/(D32-1)*(E32-1)</f>
        <v>0.905454545454546</v>
      </c>
      <c r="F31" s="852">
        <f>E31/(E32-1)*(F32-1)</f>
        <v>0.980909090909091</v>
      </c>
      <c r="G31" s="852">
        <f>F31/(F32-1)*(G32-1)</f>
        <v>1.05636363636364</v>
      </c>
      <c r="H31" s="852">
        <f>G31/(G32-1)*(H32-1)</f>
        <v>1.13181818181818</v>
      </c>
      <c r="I31" s="852">
        <f>H31/(H32-1)*(I32-1)</f>
        <v>1.20727272727273</v>
      </c>
      <c r="J31" s="852">
        <f>I31/(I32-1)*(J32-1)</f>
        <v>1.28272727272727</v>
      </c>
      <c r="K31" s="852">
        <f>J31/(J32-1)*(K32-1)</f>
        <v>1.35818181818182</v>
      </c>
      <c r="L31" s="852">
        <f>K31/(K32-1)*(L32-1)</f>
        <v>1.43363636363636</v>
      </c>
      <c r="M31" s="852">
        <f>L31/(L32-1)*(M32-1)</f>
        <v>1.50909090909091</v>
      </c>
      <c r="N31" s="852">
        <f>M31/(M32-1)*(N32-1)</f>
        <v>1.58454545454545</v>
      </c>
      <c r="O31" s="852">
        <f>N31/(N32-1)*(O32-1)</f>
        <v>1.66</v>
      </c>
      <c r="P31" s="865">
        <f>O31/(O32-1)*(P32-1)</f>
        <v>1.73545454545455</v>
      </c>
      <c r="Q31" s="866">
        <f>P31/(P32-1)*(Q32-1)</f>
        <v>1.81090909090909</v>
      </c>
      <c r="R31" s="866">
        <f>Q31/(Q32-1)*(R32-1)</f>
        <v>1.88636363636364</v>
      </c>
      <c r="S31" s="867">
        <f>R31/(R32-1)*(S32-1)</f>
        <v>1.96181818181818</v>
      </c>
      <c r="T31" s="862" t="s"/>
      <c r="U31" s="864" t="s"/>
    </row>
    <row r="32" spans="1:21" customHeight="1">
      <c r="A32" s="680" t="s"/>
      <c r="B32" s="718" t="s"/>
      <c r="C32" s="851" t="s">
        <v>395</v>
      </c>
      <c r="D32" s="851">
        <v>12</v>
      </c>
      <c r="E32" s="851">
        <v>13</v>
      </c>
      <c r="F32" s="851">
        <v>14</v>
      </c>
      <c r="G32" s="851">
        <v>15</v>
      </c>
      <c r="H32" s="851">
        <v>16</v>
      </c>
      <c r="I32" s="851">
        <v>17</v>
      </c>
      <c r="J32" s="851">
        <v>18</v>
      </c>
      <c r="K32" s="851">
        <v>19</v>
      </c>
      <c r="L32" s="851">
        <v>20</v>
      </c>
      <c r="M32" s="851">
        <v>21</v>
      </c>
      <c r="N32" s="851">
        <v>22</v>
      </c>
      <c r="O32" s="851">
        <v>23</v>
      </c>
      <c r="P32" s="868">
        <v>24</v>
      </c>
      <c r="Q32" s="869">
        <v>25</v>
      </c>
      <c r="R32" s="869">
        <v>26</v>
      </c>
      <c r="S32" s="869">
        <v>27</v>
      </c>
      <c r="T32" s="862" t="s"/>
      <c r="U32" s="864" t="s"/>
    </row>
    <row r="33" spans="1:25" customHeight="1">
      <c r="A33" s="870" t="s">
        <v>323</v>
      </c>
      <c r="B33" s="858" t="s">
        <v>405</v>
      </c>
      <c r="C33" s="851" t="s">
        <v>393</v>
      </c>
      <c r="D33" s="861">
        <v>1</v>
      </c>
      <c r="E33" s="861">
        <f>4/E35</f>
        <v>0.8</v>
      </c>
      <c r="F33" s="861">
        <f>4/F35</f>
        <v>0.666666666666667</v>
      </c>
      <c r="G33" s="861">
        <f>4/G35</f>
        <v>0.571428571428572</v>
      </c>
      <c r="H33" s="861">
        <f>4/H35</f>
        <v>0.5</v>
      </c>
      <c r="I33" s="861">
        <f>4/I35</f>
        <v>0.444444444444445</v>
      </c>
      <c r="J33" s="861">
        <f>4/J35</f>
        <v>0.4</v>
      </c>
      <c r="K33" s="864" t="s"/>
      <c r="L33" s="864" t="s"/>
      <c r="M33" s="864" t="s"/>
      <c r="N33" s="864" t="s"/>
      <c r="O33" s="864" t="s"/>
      <c r="P33" s="864" t="s"/>
      <c r="Q33" s="871" t="s"/>
      <c r="R33" s="871" t="s"/>
      <c r="S33" s="871" t="s"/>
      <c r="T33" s="862" t="s"/>
      <c r="U33" s="864" t="s"/>
      <c r="V33" s="856" t="s"/>
      <c r="W33" s="856" t="s"/>
      <c r="X33" s="856" t="s"/>
      <c r="Y33" s="856" t="s"/>
    </row>
    <row r="34" spans="1:25" customHeight="1">
      <c r="A34" s="679" t="s"/>
      <c r="B34" s="718" t="s"/>
      <c r="C34" s="851" t="s">
        <v>394</v>
      </c>
      <c r="D34" s="852">
        <v>0.86</v>
      </c>
      <c r="E34" s="852">
        <f>D34/(D35-1)*(E35-1)</f>
        <v>1.14666666666667</v>
      </c>
      <c r="F34" s="852">
        <f>E34/(E35-1)*(F35-1)</f>
        <v>1.43333333333333</v>
      </c>
      <c r="G34" s="852">
        <f>F34/(F35-1)*(G35-1)</f>
        <v>1.72</v>
      </c>
      <c r="H34" s="852">
        <f>G34/(G35-1)*(H35-1)</f>
        <v>2.00666666666667</v>
      </c>
      <c r="I34" s="852">
        <f>H34/(H35-1)*(I35-1)</f>
        <v>2.29333333333333</v>
      </c>
      <c r="J34" s="852">
        <f>I34/(I35-1)*(J35-1)</f>
        <v>2.58</v>
      </c>
      <c r="K34" s="864" t="s"/>
      <c r="L34" s="864" t="s"/>
      <c r="M34" s="864" t="s"/>
      <c r="N34" s="864" t="s"/>
      <c r="O34" s="864" t="s"/>
      <c r="P34" s="864" t="s"/>
      <c r="Q34" s="871" t="s"/>
      <c r="R34" s="871" t="s"/>
      <c r="S34" s="871" t="s"/>
      <c r="T34" s="862" t="s"/>
      <c r="U34" s="864" t="s"/>
      <c r="V34" s="856" t="s"/>
      <c r="W34" s="856" t="s"/>
      <c r="X34" s="856" t="s"/>
      <c r="Y34" s="856" t="s"/>
    </row>
    <row r="35" spans="1:25" customHeight="1">
      <c r="A35" s="679" t="s"/>
      <c r="B35" s="718" t="s"/>
      <c r="C35" s="851" t="s">
        <v>395</v>
      </c>
      <c r="D35" s="851">
        <v>4</v>
      </c>
      <c r="E35" s="851">
        <v>5</v>
      </c>
      <c r="F35" s="851">
        <v>6</v>
      </c>
      <c r="G35" s="851">
        <v>7</v>
      </c>
      <c r="H35" s="851">
        <v>8</v>
      </c>
      <c r="I35" s="851">
        <v>9</v>
      </c>
      <c r="J35" s="851">
        <v>10</v>
      </c>
      <c r="K35" s="864" t="s"/>
      <c r="L35" s="864" t="s"/>
      <c r="M35" s="864" t="s"/>
      <c r="N35" s="864" t="s"/>
      <c r="O35" s="864" t="s"/>
      <c r="P35" s="864" t="s"/>
      <c r="Q35" s="871" t="s"/>
      <c r="R35" s="871" t="s"/>
      <c r="S35" s="871" t="s"/>
      <c r="T35" s="862" t="s"/>
      <c r="U35" s="864" t="s"/>
      <c r="V35" s="856" t="s"/>
      <c r="W35" s="856" t="s"/>
      <c r="X35" s="856" t="s"/>
      <c r="Y35" s="856" t="s"/>
    </row>
    <row r="36" spans="1:25" customHeight="1">
      <c r="A36" s="679" t="s"/>
      <c r="B36" s="858" t="s">
        <v>406</v>
      </c>
      <c r="C36" s="851" t="s">
        <v>393</v>
      </c>
      <c r="D36" s="861">
        <v>1</v>
      </c>
      <c r="E36" s="861">
        <f>4/E38</f>
        <v>0.8</v>
      </c>
      <c r="F36" s="864" t="s"/>
      <c r="G36" s="864" t="s"/>
      <c r="H36" s="864" t="s"/>
      <c r="I36" s="864" t="s"/>
      <c r="J36" s="864" t="s"/>
      <c r="K36" s="864" t="s"/>
      <c r="L36" s="864" t="s"/>
      <c r="M36" s="864" t="s"/>
      <c r="N36" s="864" t="s"/>
      <c r="O36" s="864" t="s"/>
      <c r="P36" s="864" t="s"/>
      <c r="Q36" s="862" t="s"/>
      <c r="R36" s="862" t="s"/>
      <c r="S36" s="862" t="s"/>
      <c r="T36" s="862" t="s"/>
      <c r="U36" s="864" t="s"/>
      <c r="V36" s="856" t="s"/>
      <c r="W36" s="856" t="s"/>
      <c r="X36" s="856" t="s"/>
      <c r="Y36" s="856" t="s"/>
    </row>
    <row r="37" spans="1:25" customHeight="1">
      <c r="A37" s="679" t="s"/>
      <c r="B37" s="718" t="s"/>
      <c r="C37" s="851" t="s">
        <v>394</v>
      </c>
      <c r="D37" s="852">
        <v>0.94</v>
      </c>
      <c r="E37" s="852">
        <f>D37/(D38-1)*(E38-1)</f>
        <v>1.25333333333333</v>
      </c>
      <c r="F37" s="864" t="s"/>
      <c r="G37" s="864" t="s"/>
      <c r="H37" s="864" t="s"/>
      <c r="I37" s="864" t="s"/>
      <c r="J37" s="864" t="s"/>
      <c r="K37" s="864" t="s"/>
      <c r="L37" s="864" t="s"/>
      <c r="M37" s="864" t="s"/>
      <c r="N37" s="864" t="s"/>
      <c r="O37" s="864" t="s"/>
      <c r="P37" s="864" t="s"/>
      <c r="Q37" s="862" t="s"/>
      <c r="R37" s="862" t="s"/>
      <c r="S37" s="862" t="s"/>
      <c r="T37" s="862" t="s"/>
      <c r="U37" s="864" t="s"/>
      <c r="V37" s="856" t="s"/>
      <c r="W37" s="856" t="s"/>
      <c r="X37" s="856" t="s"/>
      <c r="Y37" s="856" t="s"/>
    </row>
    <row r="38" spans="1:25" customHeight="1">
      <c r="A38" s="679" t="s"/>
      <c r="B38" s="718" t="s"/>
      <c r="C38" s="851" t="s">
        <v>395</v>
      </c>
      <c r="D38" s="851">
        <v>4</v>
      </c>
      <c r="E38" s="851">
        <v>5</v>
      </c>
      <c r="F38" s="864" t="s"/>
      <c r="G38" s="864" t="s"/>
      <c r="H38" s="864" t="s"/>
      <c r="I38" s="864" t="s"/>
      <c r="J38" s="864" t="s"/>
      <c r="K38" s="864" t="s"/>
      <c r="L38" s="864" t="s"/>
      <c r="M38" s="864" t="s"/>
      <c r="N38" s="864" t="s"/>
      <c r="O38" s="864" t="s"/>
      <c r="P38" s="864" t="s"/>
      <c r="Q38" s="864" t="s"/>
      <c r="R38" s="864" t="s"/>
      <c r="S38" s="864" t="s"/>
      <c r="T38" s="864" t="s"/>
      <c r="U38" s="864" t="s"/>
      <c r="V38" s="856" t="s"/>
      <c r="W38" s="856" t="s"/>
      <c r="X38" s="856" t="s"/>
      <c r="Y38" s="856" t="s"/>
    </row>
    <row r="39" spans="1:25" customHeight="1">
      <c r="A39" s="679" t="s"/>
      <c r="B39" s="858" t="s">
        <v>407</v>
      </c>
      <c r="C39" s="851" t="s">
        <v>393</v>
      </c>
      <c r="D39" s="861">
        <v>1</v>
      </c>
      <c r="E39" s="861">
        <f>4/E41</f>
        <v>0.8</v>
      </c>
      <c r="F39" s="861">
        <f>4/F41</f>
        <v>0.666666666666667</v>
      </c>
      <c r="G39" s="861">
        <f>4/G41</f>
        <v>0.571428571428572</v>
      </c>
      <c r="H39" s="861">
        <f>4/H41</f>
        <v>0.5</v>
      </c>
      <c r="I39" s="864" t="s"/>
      <c r="J39" s="864" t="s"/>
      <c r="K39" s="864" t="s"/>
      <c r="L39" s="864" t="s"/>
      <c r="M39" s="864" t="s"/>
      <c r="N39" s="864" t="s"/>
      <c r="O39" s="864" t="s"/>
      <c r="P39" s="864" t="s"/>
      <c r="Q39" s="864" t="s"/>
      <c r="R39" s="864" t="s"/>
      <c r="S39" s="864" t="s"/>
      <c r="T39" s="864" t="s"/>
      <c r="U39" s="864" t="s"/>
      <c r="V39" s="856" t="s"/>
      <c r="W39" s="856" t="s"/>
      <c r="X39" s="856" t="s"/>
      <c r="Y39" s="856" t="s"/>
    </row>
    <row r="40" spans="1:25" customHeight="1">
      <c r="A40" s="679" t="s"/>
      <c r="B40" s="718" t="s"/>
      <c r="C40" s="851" t="s">
        <v>394</v>
      </c>
      <c r="D40" s="852">
        <v>0.93</v>
      </c>
      <c r="E40" s="852">
        <f>D40/(D41-1)*(E41-1)</f>
        <v>1.24</v>
      </c>
      <c r="F40" s="852">
        <f>E40/(E41-1)*(F41-1)</f>
        <v>1.55</v>
      </c>
      <c r="G40" s="852">
        <f>F40/(F41-1)*(G41-1)</f>
        <v>1.86</v>
      </c>
      <c r="H40" s="852">
        <f>G40/(G41-1)*(H41-1)</f>
        <v>2.17</v>
      </c>
      <c r="I40" s="864" t="s"/>
      <c r="J40" s="864" t="s"/>
      <c r="K40" s="864" t="s"/>
      <c r="L40" s="864" t="s"/>
      <c r="M40" s="864" t="s"/>
      <c r="N40" s="864" t="s"/>
      <c r="O40" s="864" t="s"/>
      <c r="P40" s="864" t="s"/>
      <c r="Q40" s="864" t="s"/>
      <c r="R40" s="864" t="s"/>
      <c r="S40" s="864" t="s"/>
      <c r="T40" s="864" t="s"/>
      <c r="U40" s="864" t="s"/>
      <c r="V40" s="856" t="s"/>
      <c r="W40" s="856" t="s"/>
      <c r="X40" s="856" t="s"/>
      <c r="Y40" s="856" t="s"/>
    </row>
    <row r="41" spans="1:25" customHeight="1">
      <c r="A41" s="679" t="s"/>
      <c r="B41" s="718" t="s"/>
      <c r="C41" s="851" t="s">
        <v>395</v>
      </c>
      <c r="D41" s="851">
        <v>4</v>
      </c>
      <c r="E41" s="851">
        <v>5</v>
      </c>
      <c r="F41" s="851">
        <v>6</v>
      </c>
      <c r="G41" s="851">
        <v>7</v>
      </c>
      <c r="H41" s="851">
        <v>8</v>
      </c>
      <c r="I41" s="864" t="s"/>
      <c r="J41" s="864" t="s"/>
      <c r="K41" s="864" t="s"/>
      <c r="L41" s="864" t="s"/>
      <c r="M41" s="864" t="s"/>
      <c r="N41" s="864" t="s"/>
      <c r="O41" s="864" t="s"/>
      <c r="P41" s="864" t="s"/>
      <c r="Q41" s="864" t="s"/>
      <c r="R41" s="864" t="s"/>
      <c r="S41" s="864" t="s"/>
      <c r="T41" s="864" t="s"/>
      <c r="U41" s="864" t="s"/>
      <c r="V41" s="856" t="s"/>
      <c r="W41" s="856" t="s"/>
      <c r="X41" s="856" t="s"/>
      <c r="Y41" s="856" t="s"/>
    </row>
    <row r="42" spans="1:25" customHeight="1">
      <c r="A42" s="679" t="s"/>
      <c r="B42" s="858" t="s">
        <v>408</v>
      </c>
      <c r="C42" s="851" t="s">
        <v>393</v>
      </c>
      <c r="D42" s="861">
        <v>1</v>
      </c>
      <c r="E42" s="861">
        <f>4/E44</f>
        <v>0.8</v>
      </c>
      <c r="F42" s="861">
        <f>4/F44</f>
        <v>0.666666666666667</v>
      </c>
      <c r="G42" s="861">
        <f>4/G44</f>
        <v>0.571428571428572</v>
      </c>
      <c r="H42" s="861">
        <f>4/H44</f>
        <v>0.5</v>
      </c>
      <c r="I42" s="861">
        <f>4/I44</f>
        <v>0.444444444444445</v>
      </c>
      <c r="J42" s="864" t="s"/>
      <c r="K42" s="864" t="s"/>
      <c r="L42" s="864" t="s"/>
      <c r="M42" s="864" t="s"/>
      <c r="N42" s="864" t="s"/>
      <c r="O42" s="864" t="s"/>
      <c r="P42" s="864" t="s"/>
      <c r="Q42" s="864" t="s"/>
      <c r="R42" s="864" t="s"/>
      <c r="S42" s="864" t="s"/>
      <c r="T42" s="864" t="s"/>
      <c r="U42" s="864" t="s"/>
      <c r="V42" s="856" t="s"/>
      <c r="W42" s="856" t="s"/>
      <c r="X42" s="856" t="s"/>
      <c r="Y42" s="856" t="s"/>
    </row>
    <row r="43" spans="1:25" customHeight="1">
      <c r="A43" s="679" t="s"/>
      <c r="B43" s="718" t="s"/>
      <c r="C43" s="851" t="s">
        <v>394</v>
      </c>
      <c r="D43" s="852">
        <v>0.85</v>
      </c>
      <c r="E43" s="852">
        <f>D43/(D44-1)*(E44-1)</f>
        <v>1.13333333333333</v>
      </c>
      <c r="F43" s="852">
        <f>E43/(E44-1)*(F44-1)</f>
        <v>1.41666666666667</v>
      </c>
      <c r="G43" s="852">
        <f>F43/(F44-1)*(G44-1)</f>
        <v>1.7</v>
      </c>
      <c r="H43" s="852">
        <f>G43/(G44-1)*(H44-1)</f>
        <v>1.98333333333333</v>
      </c>
      <c r="I43" s="852">
        <f>H43/(H44-1)*(I44-1)</f>
        <v>2.26666666666667</v>
      </c>
      <c r="J43" s="864" t="s"/>
      <c r="K43" s="864" t="s"/>
      <c r="L43" s="864" t="s"/>
      <c r="M43" s="864" t="s"/>
      <c r="N43" s="864" t="s"/>
      <c r="O43" s="864" t="s"/>
      <c r="P43" s="864" t="s"/>
      <c r="Q43" s="864" t="s"/>
      <c r="R43" s="864" t="s"/>
      <c r="S43" s="864" t="s"/>
      <c r="T43" s="864" t="s"/>
      <c r="U43" s="864" t="s"/>
      <c r="V43" s="856" t="s"/>
      <c r="W43" s="856" t="s"/>
      <c r="X43" s="856" t="s"/>
      <c r="Y43" s="856" t="s"/>
    </row>
    <row r="44" spans="1:25" customHeight="1">
      <c r="A44" s="679" t="s"/>
      <c r="B44" s="718" t="s"/>
      <c r="C44" s="851" t="s">
        <v>395</v>
      </c>
      <c r="D44" s="851">
        <v>4</v>
      </c>
      <c r="E44" s="851">
        <v>5</v>
      </c>
      <c r="F44" s="851">
        <v>6</v>
      </c>
      <c r="G44" s="851">
        <v>7</v>
      </c>
      <c r="H44" s="851">
        <v>8</v>
      </c>
      <c r="I44" s="851">
        <v>9</v>
      </c>
      <c r="J44" s="864" t="s"/>
      <c r="K44" s="864" t="s"/>
      <c r="L44" s="864" t="s"/>
      <c r="M44" s="864" t="s"/>
      <c r="N44" s="864" t="s"/>
      <c r="O44" s="864" t="s"/>
      <c r="P44" s="864" t="s"/>
      <c r="Q44" s="864" t="s"/>
      <c r="R44" s="864" t="s"/>
      <c r="S44" s="864" t="s"/>
      <c r="T44" s="864" t="s"/>
      <c r="U44" s="864" t="s"/>
      <c r="V44" s="856" t="s"/>
      <c r="W44" s="856" t="s"/>
      <c r="X44" s="856" t="s"/>
      <c r="Y44" s="856" t="s"/>
    </row>
    <row r="45" spans="1:25" ht="14.25">
      <c r="A45" s="679" t="s"/>
      <c r="B45" s="858" t="s">
        <v>409</v>
      </c>
      <c r="C45" s="851" t="s">
        <v>393</v>
      </c>
      <c r="D45" s="861">
        <v>1</v>
      </c>
      <c r="E45" s="861">
        <f>2/E47</f>
        <v>0.666666666666667</v>
      </c>
      <c r="F45" s="861">
        <f>2/F47</f>
        <v>0.5</v>
      </c>
      <c r="G45" s="861">
        <f>2/G47</f>
        <v>0.4</v>
      </c>
      <c r="H45" s="864" t="s"/>
      <c r="I45" s="864" t="s"/>
      <c r="J45" s="864" t="s"/>
      <c r="K45" s="864" t="s"/>
      <c r="L45" s="864" t="s"/>
      <c r="M45" s="864" t="s"/>
      <c r="N45" s="864" t="s"/>
      <c r="O45" s="864" t="s"/>
      <c r="P45" s="864" t="s"/>
      <c r="Q45" s="864" t="s"/>
      <c r="R45" s="864" t="s"/>
      <c r="S45" s="864" t="s"/>
      <c r="T45" s="864" t="s"/>
      <c r="U45" s="864" t="s"/>
      <c r="V45" s="856" t="s"/>
      <c r="W45" s="856" t="s"/>
      <c r="X45" s="856" t="s"/>
      <c r="Y45" s="856" t="s"/>
    </row>
    <row r="46" spans="1:25" ht="14.25">
      <c r="A46" s="679" t="s"/>
      <c r="B46" s="718" t="s"/>
      <c r="C46" s="851" t="s">
        <v>394</v>
      </c>
      <c r="D46" s="852">
        <v>1.06</v>
      </c>
      <c r="E46" s="852">
        <f>D46/(D47-1)*(E47-1)</f>
        <v>2.12</v>
      </c>
      <c r="F46" s="852">
        <f>E46/(E47-1)*(F47-1)</f>
        <v>3.18</v>
      </c>
      <c r="G46" s="852">
        <f>F46/(F47-1)*(G47-1)</f>
        <v>4.24</v>
      </c>
      <c r="H46" s="864" t="s"/>
      <c r="I46" s="864" t="s"/>
      <c r="J46" s="864" t="s"/>
      <c r="K46" s="864" t="s"/>
      <c r="L46" s="864" t="s"/>
      <c r="M46" s="864" t="s"/>
      <c r="N46" s="864" t="s"/>
      <c r="O46" s="864" t="s"/>
      <c r="P46" s="864" t="s"/>
      <c r="Q46" s="864" t="s"/>
      <c r="R46" s="864" t="s"/>
      <c r="S46" s="864" t="s"/>
      <c r="T46" s="864" t="s"/>
      <c r="U46" s="864" t="s"/>
      <c r="V46" s="856" t="s"/>
      <c r="W46" s="856" t="s"/>
      <c r="X46" s="856" t="s"/>
      <c r="Y46" s="856" t="s"/>
    </row>
    <row r="47" spans="1:25" ht="14.25">
      <c r="A47" s="679" t="s"/>
      <c r="B47" s="718" t="s"/>
      <c r="C47" s="851" t="s">
        <v>395</v>
      </c>
      <c r="D47" s="851">
        <v>2</v>
      </c>
      <c r="E47" s="851">
        <v>3</v>
      </c>
      <c r="F47" s="851">
        <v>4</v>
      </c>
      <c r="G47" s="851">
        <v>5</v>
      </c>
      <c r="H47" s="864" t="s"/>
      <c r="I47" s="864" t="s"/>
      <c r="J47" s="864" t="s"/>
      <c r="K47" s="864" t="s"/>
      <c r="L47" s="864" t="s"/>
      <c r="M47" s="864" t="s"/>
      <c r="N47" s="864" t="s"/>
      <c r="O47" s="864" t="s"/>
      <c r="P47" s="864" t="s"/>
      <c r="Q47" s="864" t="s"/>
      <c r="R47" s="864" t="s"/>
      <c r="S47" s="864" t="s"/>
      <c r="T47" s="864" t="s"/>
      <c r="U47" s="864" t="s"/>
      <c r="V47" s="856" t="s"/>
      <c r="W47" s="856" t="s"/>
      <c r="X47" s="856" t="s"/>
      <c r="Y47" s="856" t="s"/>
    </row>
    <row r="48" spans="1:25" customHeight="1">
      <c r="A48" s="679" t="s"/>
      <c r="B48" s="858" t="s">
        <v>410</v>
      </c>
      <c r="C48" s="851" t="s">
        <v>393</v>
      </c>
      <c r="D48" s="861">
        <v>1</v>
      </c>
      <c r="E48" s="861">
        <f>3/E50</f>
        <v>0.75</v>
      </c>
      <c r="F48" s="861">
        <f>3/F50</f>
        <v>0.6</v>
      </c>
      <c r="G48" s="864" t="s"/>
      <c r="H48" s="864" t="s"/>
      <c r="I48" s="864" t="s"/>
      <c r="J48" s="864" t="s"/>
      <c r="K48" s="864" t="s"/>
      <c r="L48" s="864" t="s"/>
      <c r="M48" s="864" t="s"/>
      <c r="N48" s="864" t="s"/>
      <c r="O48" s="864" t="s"/>
      <c r="P48" s="864" t="s"/>
      <c r="Q48" s="864" t="s"/>
      <c r="R48" s="864" t="s"/>
      <c r="S48" s="864" t="s"/>
      <c r="T48" s="864" t="s"/>
      <c r="U48" s="864" t="s"/>
      <c r="V48" s="856" t="s"/>
      <c r="W48" s="856" t="s"/>
      <c r="X48" s="856" t="s"/>
      <c r="Y48" s="856" t="s"/>
    </row>
    <row r="49" spans="1:25" customHeight="1">
      <c r="A49" s="679" t="s"/>
      <c r="B49" s="718" t="s"/>
      <c r="C49" s="851" t="s">
        <v>394</v>
      </c>
      <c r="D49" s="852">
        <v>1.52</v>
      </c>
      <c r="E49" s="852">
        <f>D49/(D50-1)*(E50-1)</f>
        <v>2.28</v>
      </c>
      <c r="F49" s="852">
        <f>E49/(E50-1)*(F50-1)</f>
        <v>3.04</v>
      </c>
      <c r="G49" s="864" t="s"/>
      <c r="H49" s="864" t="s"/>
      <c r="I49" s="864" t="s"/>
      <c r="J49" s="864" t="s"/>
      <c r="K49" s="864" t="s"/>
      <c r="L49" s="864" t="s"/>
      <c r="M49" s="864" t="s"/>
      <c r="N49" s="864" t="s"/>
      <c r="O49" s="864" t="s"/>
      <c r="P49" s="864" t="s"/>
      <c r="Q49" s="864" t="s"/>
      <c r="R49" s="864" t="s"/>
      <c r="S49" s="864" t="s"/>
      <c r="T49" s="864" t="s"/>
      <c r="U49" s="864" t="s"/>
      <c r="V49" s="856" t="s"/>
      <c r="W49" s="856" t="s"/>
      <c r="X49" s="856" t="s"/>
      <c r="Y49" s="856" t="s"/>
    </row>
    <row r="50" spans="1:25" customHeight="1">
      <c r="A50" s="679" t="s"/>
      <c r="B50" s="718" t="s"/>
      <c r="C50" s="851" t="s">
        <v>395</v>
      </c>
      <c r="D50" s="851">
        <v>3</v>
      </c>
      <c r="E50" s="851">
        <v>4</v>
      </c>
      <c r="F50" s="851">
        <v>5</v>
      </c>
      <c r="G50" s="864" t="s"/>
      <c r="H50" s="864" t="s"/>
      <c r="I50" s="864" t="s"/>
      <c r="J50" s="864" t="s"/>
      <c r="K50" s="864" t="s"/>
      <c r="L50" s="864" t="s"/>
      <c r="M50" s="864" t="s"/>
      <c r="N50" s="864" t="s"/>
      <c r="O50" s="864" t="s"/>
      <c r="P50" s="864" t="s"/>
      <c r="Q50" s="864" t="s"/>
      <c r="R50" s="864" t="s"/>
      <c r="S50" s="864" t="s"/>
      <c r="T50" s="864" t="s"/>
      <c r="U50" s="864" t="s"/>
      <c r="V50" s="856" t="s"/>
      <c r="W50" s="856" t="s"/>
      <c r="X50" s="856" t="s"/>
      <c r="Y50" s="856" t="s"/>
    </row>
    <row r="51" spans="1:25" customHeight="1">
      <c r="A51" s="679" t="s"/>
      <c r="B51" s="858" t="s">
        <v>411</v>
      </c>
      <c r="C51" s="851" t="s">
        <v>393</v>
      </c>
      <c r="D51" s="861">
        <v>1</v>
      </c>
      <c r="E51" s="861">
        <f>3/E53</f>
        <v>0.75</v>
      </c>
      <c r="F51" s="861">
        <f>3/F53</f>
        <v>0.6</v>
      </c>
      <c r="G51" s="861">
        <f>3/G53</f>
        <v>0.5</v>
      </c>
      <c r="H51" s="864" t="s"/>
      <c r="I51" s="864" t="s"/>
      <c r="J51" s="864" t="s"/>
      <c r="K51" s="864" t="s"/>
      <c r="L51" s="864" t="s"/>
      <c r="M51" s="864" t="s"/>
      <c r="N51" s="864" t="s"/>
      <c r="O51" s="864" t="s"/>
      <c r="P51" s="864" t="s"/>
      <c r="Q51" s="864" t="s"/>
      <c r="R51" s="864" t="s"/>
      <c r="S51" s="864" t="s"/>
      <c r="T51" s="864" t="s"/>
      <c r="U51" s="864" t="s"/>
      <c r="V51" s="856" t="s"/>
      <c r="W51" s="856" t="s"/>
      <c r="X51" s="856" t="s"/>
      <c r="Y51" s="856" t="s"/>
    </row>
    <row r="52" spans="1:25" customHeight="1">
      <c r="A52" s="679" t="s"/>
      <c r="B52" s="718" t="s"/>
      <c r="C52" s="851" t="s">
        <v>394</v>
      </c>
      <c r="D52" s="852">
        <v>1.41</v>
      </c>
      <c r="E52" s="852">
        <f>D52/(D53-1)*(E53-1)</f>
        <v>2.115</v>
      </c>
      <c r="F52" s="852">
        <f>E52/(E53-1)*(F53-1)</f>
        <v>2.82</v>
      </c>
      <c r="G52" s="852">
        <f>F52/(F53-1)*(G53-1)</f>
        <v>3.525</v>
      </c>
      <c r="H52" s="864" t="s"/>
      <c r="I52" s="864" t="s"/>
      <c r="J52" s="864" t="s"/>
      <c r="K52" s="864" t="s"/>
      <c r="L52" s="864" t="s"/>
      <c r="M52" s="864" t="s"/>
      <c r="N52" s="864" t="s"/>
      <c r="O52" s="864" t="s"/>
      <c r="P52" s="864" t="s"/>
      <c r="Q52" s="864" t="s"/>
      <c r="R52" s="864" t="s"/>
      <c r="S52" s="864" t="s"/>
      <c r="T52" s="864" t="s"/>
      <c r="U52" s="864" t="s"/>
      <c r="V52" s="856" t="s"/>
      <c r="W52" s="856" t="s"/>
      <c r="X52" s="856" t="s"/>
      <c r="Y52" s="856" t="s"/>
    </row>
    <row r="53" spans="1:25" customHeight="1">
      <c r="A53" s="680" t="s"/>
      <c r="B53" s="718" t="s"/>
      <c r="C53" s="851" t="s">
        <v>395</v>
      </c>
      <c r="D53" s="851">
        <v>3</v>
      </c>
      <c r="E53" s="851">
        <v>4</v>
      </c>
      <c r="F53" s="851">
        <v>5</v>
      </c>
      <c r="G53" s="851">
        <v>6</v>
      </c>
      <c r="H53" s="864" t="s"/>
      <c r="I53" s="864" t="s"/>
      <c r="J53" s="864" t="s"/>
      <c r="K53" s="864" t="s"/>
      <c r="L53" s="864" t="s"/>
      <c r="M53" s="864" t="s"/>
      <c r="N53" s="864" t="s"/>
      <c r="O53" s="864" t="s"/>
      <c r="P53" s="864" t="s"/>
      <c r="Q53" s="864" t="s"/>
      <c r="R53" s="864" t="s"/>
      <c r="S53" s="864" t="s"/>
      <c r="T53" s="864" t="s"/>
      <c r="U53" s="864" t="s"/>
      <c r="V53" s="856" t="s"/>
      <c r="W53" s="856" t="s"/>
      <c r="X53" s="856" t="s"/>
      <c r="Y53" s="856" t="s"/>
    </row>
    <row r="54" spans="1:46" customHeight="1">
      <c r="A54" s="872" t="s">
        <v>315</v>
      </c>
      <c r="B54" s="872" t="s">
        <v>412</v>
      </c>
      <c r="C54" s="873" t="s">
        <v>393</v>
      </c>
      <c r="D54" s="874">
        <v>1</v>
      </c>
      <c r="E54" s="874">
        <v>0.9167</v>
      </c>
      <c r="F54" s="874">
        <v>0.8462</v>
      </c>
      <c r="G54" s="874">
        <v>0.7857</v>
      </c>
      <c r="H54" s="874">
        <v>0.7333</v>
      </c>
      <c r="I54" s="874">
        <v>0.6875</v>
      </c>
      <c r="J54" s="874">
        <v>0.6471</v>
      </c>
      <c r="K54" s="874">
        <v>0.6111</v>
      </c>
      <c r="L54" s="874">
        <v>0.5789</v>
      </c>
      <c r="M54" s="874">
        <v>0.55</v>
      </c>
      <c r="N54" s="874">
        <v>0.5238</v>
      </c>
      <c r="O54" s="874">
        <v>0.5</v>
      </c>
      <c r="P54" s="874">
        <v>0.4783</v>
      </c>
      <c r="Q54" s="874">
        <v>0.4583</v>
      </c>
      <c r="R54" s="874">
        <v>0.44</v>
      </c>
      <c r="S54" s="874">
        <v>0.4231</v>
      </c>
      <c r="T54" s="874">
        <v>0.4074</v>
      </c>
      <c r="U54" s="874">
        <v>0.3929</v>
      </c>
      <c r="V54" s="875">
        <v>0.3793</v>
      </c>
      <c r="W54" s="876" t="s"/>
      <c r="X54" s="876" t="s"/>
      <c r="Y54" s="876" t="s"/>
      <c r="Z54" s="877" t="s"/>
      <c r="AA54" s="877" t="s"/>
      <c r="AB54" s="877" t="s"/>
      <c r="AC54" s="877" t="s"/>
      <c r="AD54" s="877" t="s"/>
      <c r="AE54" s="877" t="s"/>
      <c r="AF54" s="877" t="s"/>
      <c r="AG54" s="877" t="s"/>
      <c r="AH54" s="877" t="s"/>
      <c r="AI54" s="877" t="s"/>
      <c r="AJ54" s="877" t="s"/>
      <c r="AK54" s="877" t="s"/>
      <c r="AL54" s="877" t="s"/>
      <c r="AM54" s="877" t="s"/>
      <c r="AN54" s="877" t="s"/>
      <c r="AO54" s="877" t="s"/>
      <c r="AP54" s="877" t="s"/>
      <c r="AQ54" s="877" t="s"/>
      <c r="AR54" s="877" t="s"/>
      <c r="AS54" s="877" t="s"/>
      <c r="AT54" s="877" t="s"/>
    </row>
    <row r="55" spans="1:46" customHeight="1">
      <c r="A55" s="678" t="s"/>
      <c r="B55" s="678" t="s"/>
      <c r="C55" s="878" t="s">
        <v>394</v>
      </c>
      <c r="D55" s="879">
        <v>0.83</v>
      </c>
      <c r="E55" s="852">
        <f>D55/(D56-1)*(E56-1)</f>
        <v>0.913</v>
      </c>
      <c r="F55" s="867">
        <f>E55/(E56-1)*(F56-1)</f>
        <v>0.996</v>
      </c>
      <c r="G55" s="867">
        <f>F55/(F56-1)*(G56-1)</f>
        <v>1.079</v>
      </c>
      <c r="H55" s="867">
        <f>G55/(G56-1)*(H56-1)</f>
        <v>1.162</v>
      </c>
      <c r="I55" s="867">
        <f>H55/(H56-1)*(I56-1)</f>
        <v>1.245</v>
      </c>
      <c r="J55" s="867">
        <f>I55/(I56-1)*(J56-1)</f>
        <v>1.328</v>
      </c>
      <c r="K55" s="867">
        <f>J55/(J56-1)*(K56-1)</f>
        <v>1.411</v>
      </c>
      <c r="L55" s="867">
        <f>K55/(K56-1)*(L56-1)</f>
        <v>1.494</v>
      </c>
      <c r="M55" s="867">
        <f>L55/(L56-1)*(M56-1)</f>
        <v>1.577</v>
      </c>
      <c r="N55" s="867">
        <f>M55/(M56-1)*(N56-1)</f>
        <v>1.66</v>
      </c>
      <c r="O55" s="867">
        <f>N55/(N56-1)*(O56-1)</f>
        <v>1.743</v>
      </c>
      <c r="P55" s="867">
        <f>O55/(O56-1)*(P56-1)</f>
        <v>1.826</v>
      </c>
      <c r="Q55" s="867">
        <f>P55/(P56-1)*(Q56-1)</f>
        <v>1.909</v>
      </c>
      <c r="R55" s="867">
        <f>Q55/(Q56-1)*(R56-1)</f>
        <v>1.992</v>
      </c>
      <c r="S55" s="867">
        <f>R55/(R56-1)*(S56-1)</f>
        <v>2.075</v>
      </c>
      <c r="T55" s="867">
        <f>S55/(S56-1)*(T56-1)</f>
        <v>2.158</v>
      </c>
      <c r="U55" s="867">
        <f>T55/(T56-1)*(U56-1)</f>
        <v>2.241</v>
      </c>
      <c r="V55" s="880">
        <f>U55/(U56-1)*(V56-1)</f>
        <v>2.324</v>
      </c>
      <c r="W55" s="876" t="s"/>
      <c r="X55" s="876" t="s"/>
      <c r="Y55" s="876" t="s"/>
      <c r="Z55" s="877" t="s"/>
      <c r="AA55" s="877" t="s"/>
      <c r="AB55" s="877" t="s"/>
      <c r="AC55" s="877" t="s"/>
      <c r="AD55" s="877" t="s"/>
      <c r="AE55" s="877" t="s"/>
      <c r="AF55" s="877" t="s"/>
      <c r="AG55" s="877" t="s"/>
      <c r="AH55" s="877" t="s"/>
      <c r="AI55" s="877" t="s"/>
      <c r="AJ55" s="877" t="s"/>
      <c r="AK55" s="877" t="s"/>
      <c r="AL55" s="877" t="s"/>
      <c r="AM55" s="877" t="s"/>
      <c r="AN55" s="877" t="s"/>
      <c r="AO55" s="877" t="s"/>
      <c r="AP55" s="877" t="s"/>
      <c r="AQ55" s="877" t="s"/>
      <c r="AR55" s="877" t="s"/>
      <c r="AS55" s="877" t="s"/>
      <c r="AT55" s="877" t="s"/>
    </row>
    <row r="56" spans="1:46" customHeight="1">
      <c r="A56" s="678" t="s"/>
      <c r="B56" s="678" t="s"/>
      <c r="C56" s="878" t="s">
        <v>395</v>
      </c>
      <c r="D56" s="878">
        <v>11</v>
      </c>
      <c r="E56" s="878">
        <v>12</v>
      </c>
      <c r="F56" s="878">
        <v>13</v>
      </c>
      <c r="G56" s="878">
        <v>14</v>
      </c>
      <c r="H56" s="878">
        <v>15</v>
      </c>
      <c r="I56" s="878">
        <v>16</v>
      </c>
      <c r="J56" s="878">
        <v>17</v>
      </c>
      <c r="K56" s="878">
        <v>18</v>
      </c>
      <c r="L56" s="878">
        <v>19</v>
      </c>
      <c r="M56" s="878">
        <v>20</v>
      </c>
      <c r="N56" s="878">
        <v>21</v>
      </c>
      <c r="O56" s="878">
        <v>22</v>
      </c>
      <c r="P56" s="878">
        <v>23</v>
      </c>
      <c r="Q56" s="878">
        <v>24</v>
      </c>
      <c r="R56" s="878">
        <v>25</v>
      </c>
      <c r="S56" s="878">
        <v>26</v>
      </c>
      <c r="T56" s="878">
        <v>27</v>
      </c>
      <c r="U56" s="878">
        <v>28</v>
      </c>
      <c r="V56" s="881">
        <v>29</v>
      </c>
      <c r="W56" s="876" t="s"/>
      <c r="X56" s="876" t="s"/>
      <c r="Y56" s="876" t="s"/>
      <c r="Z56" s="877" t="s"/>
      <c r="AA56" s="877" t="s"/>
      <c r="AB56" s="877" t="s"/>
      <c r="AC56" s="877" t="s"/>
      <c r="AD56" s="877" t="s"/>
      <c r="AE56" s="877" t="s"/>
      <c r="AF56" s="877" t="s"/>
      <c r="AG56" s="877" t="s"/>
      <c r="AH56" s="877" t="s"/>
      <c r="AI56" s="877" t="s"/>
      <c r="AJ56" s="877" t="s"/>
      <c r="AK56" s="877" t="s"/>
      <c r="AL56" s="877" t="s"/>
      <c r="AM56" s="877" t="s"/>
      <c r="AN56" s="877" t="s"/>
      <c r="AO56" s="877" t="s"/>
      <c r="AP56" s="877" t="s"/>
      <c r="AQ56" s="877" t="s"/>
      <c r="AR56" s="877" t="s"/>
      <c r="AS56" s="877" t="s"/>
      <c r="AT56" s="877" t="s"/>
    </row>
    <row r="57" spans="1:46" customHeight="1">
      <c r="A57" s="678" t="s"/>
      <c r="B57" s="882" t="s">
        <v>413</v>
      </c>
      <c r="C57" s="878" t="s">
        <v>393</v>
      </c>
      <c r="D57" s="883">
        <v>1</v>
      </c>
      <c r="E57" s="883">
        <v>0.9167</v>
      </c>
      <c r="F57" s="883">
        <v>0.8462</v>
      </c>
      <c r="G57" s="883">
        <v>0.7857</v>
      </c>
      <c r="H57" s="883">
        <v>0.7333</v>
      </c>
      <c r="I57" s="883">
        <v>0.6875</v>
      </c>
      <c r="J57" s="883">
        <v>0.6471</v>
      </c>
      <c r="K57" s="883">
        <v>0.6111</v>
      </c>
      <c r="L57" s="883">
        <v>0.5789</v>
      </c>
      <c r="M57" s="883">
        <v>0.55</v>
      </c>
      <c r="N57" s="883">
        <v>0.5238</v>
      </c>
      <c r="O57" s="883">
        <v>0.5</v>
      </c>
      <c r="P57" s="883">
        <v>0.4783</v>
      </c>
      <c r="Q57" s="883">
        <v>0.4583</v>
      </c>
      <c r="R57" s="883">
        <v>0.44</v>
      </c>
      <c r="S57" s="883">
        <v>0.4231</v>
      </c>
      <c r="T57" s="883">
        <v>0.4074</v>
      </c>
      <c r="U57" s="883">
        <v>0.3929</v>
      </c>
      <c r="V57" s="884">
        <v>0.3793</v>
      </c>
      <c r="W57" s="876" t="s"/>
      <c r="X57" s="876" t="s"/>
      <c r="Y57" s="876" t="s"/>
      <c r="Z57" s="877" t="s"/>
      <c r="AA57" s="877" t="s"/>
      <c r="AB57" s="877" t="s"/>
      <c r="AC57" s="877" t="s"/>
      <c r="AD57" s="877" t="s"/>
      <c r="AE57" s="877" t="s"/>
      <c r="AF57" s="877" t="s"/>
      <c r="AG57" s="877" t="s"/>
      <c r="AH57" s="877" t="s"/>
      <c r="AI57" s="877" t="s"/>
      <c r="AJ57" s="877" t="s"/>
      <c r="AK57" s="877" t="s"/>
      <c r="AL57" s="877" t="s"/>
      <c r="AM57" s="877" t="s"/>
      <c r="AN57" s="877" t="s"/>
      <c r="AO57" s="877" t="s"/>
      <c r="AP57" s="877" t="s"/>
      <c r="AQ57" s="877" t="s"/>
      <c r="AR57" s="877" t="s"/>
      <c r="AS57" s="877" t="s"/>
      <c r="AT57" s="877" t="s"/>
    </row>
    <row r="58" spans="1:46" customHeight="1">
      <c r="A58" s="678" t="s"/>
      <c r="B58" s="680" t="s"/>
      <c r="C58" s="878" t="s">
        <v>394</v>
      </c>
      <c r="D58" s="879">
        <v>1</v>
      </c>
      <c r="E58" s="879">
        <v>1.1</v>
      </c>
      <c r="F58" s="879">
        <v>1.2</v>
      </c>
      <c r="G58" s="879">
        <v>1.3</v>
      </c>
      <c r="H58" s="879">
        <v>1.4</v>
      </c>
      <c r="I58" s="879">
        <v>1.5</v>
      </c>
      <c r="J58" s="879">
        <v>1.6</v>
      </c>
      <c r="K58" s="879">
        <v>1.7</v>
      </c>
      <c r="L58" s="879">
        <v>1.8</v>
      </c>
      <c r="M58" s="879">
        <v>1.9</v>
      </c>
      <c r="N58" s="879">
        <v>2</v>
      </c>
      <c r="O58" s="879">
        <v>2.1</v>
      </c>
      <c r="P58" s="879">
        <v>2.2</v>
      </c>
      <c r="Q58" s="879">
        <v>2.3</v>
      </c>
      <c r="R58" s="879">
        <v>2.4</v>
      </c>
      <c r="S58" s="879">
        <v>2.5</v>
      </c>
      <c r="T58" s="879">
        <v>2.6</v>
      </c>
      <c r="U58" s="879">
        <v>2.7</v>
      </c>
      <c r="V58" s="885">
        <v>2.8</v>
      </c>
      <c r="W58" s="876" t="s"/>
      <c r="X58" s="876" t="s"/>
      <c r="Y58" s="876" t="s"/>
      <c r="Z58" s="877" t="s"/>
      <c r="AA58" s="877" t="s"/>
      <c r="AB58" s="877" t="s"/>
      <c r="AC58" s="877" t="s"/>
      <c r="AD58" s="877" t="s"/>
      <c r="AE58" s="877" t="s"/>
      <c r="AF58" s="877" t="s"/>
      <c r="AG58" s="877" t="s"/>
      <c r="AH58" s="877" t="s"/>
      <c r="AI58" s="877" t="s"/>
      <c r="AJ58" s="877" t="s"/>
      <c r="AK58" s="877" t="s"/>
      <c r="AL58" s="877" t="s"/>
      <c r="AM58" s="877" t="s"/>
      <c r="AN58" s="877" t="s"/>
      <c r="AO58" s="877" t="s"/>
      <c r="AP58" s="877" t="s"/>
      <c r="AQ58" s="877" t="s"/>
      <c r="AR58" s="877" t="s"/>
      <c r="AS58" s="877" t="s"/>
      <c r="AT58" s="877" t="s"/>
    </row>
    <row r="59" spans="1:46" customHeight="1">
      <c r="A59" s="678" t="s"/>
      <c r="B59" s="680" t="s"/>
      <c r="C59" s="878" t="s">
        <v>395</v>
      </c>
      <c r="D59" s="878">
        <v>11</v>
      </c>
      <c r="E59" s="878">
        <v>12</v>
      </c>
      <c r="F59" s="878">
        <v>13</v>
      </c>
      <c r="G59" s="878">
        <v>14</v>
      </c>
      <c r="H59" s="878">
        <v>15</v>
      </c>
      <c r="I59" s="878">
        <v>16</v>
      </c>
      <c r="J59" s="878">
        <v>17</v>
      </c>
      <c r="K59" s="878">
        <v>18</v>
      </c>
      <c r="L59" s="878">
        <v>19</v>
      </c>
      <c r="M59" s="878">
        <v>20</v>
      </c>
      <c r="N59" s="878">
        <v>21</v>
      </c>
      <c r="O59" s="878">
        <v>22</v>
      </c>
      <c r="P59" s="878">
        <v>23</v>
      </c>
      <c r="Q59" s="878">
        <v>24</v>
      </c>
      <c r="R59" s="878">
        <v>25</v>
      </c>
      <c r="S59" s="878">
        <v>26</v>
      </c>
      <c r="T59" s="878">
        <v>27</v>
      </c>
      <c r="U59" s="878">
        <v>28</v>
      </c>
      <c r="V59" s="881">
        <v>29</v>
      </c>
      <c r="W59" s="876" t="s"/>
      <c r="X59" s="876" t="s"/>
      <c r="Y59" s="876" t="s"/>
      <c r="Z59" s="877" t="s"/>
      <c r="AA59" s="877" t="s"/>
      <c r="AB59" s="877" t="s"/>
      <c r="AC59" s="877" t="s"/>
      <c r="AD59" s="877" t="s"/>
      <c r="AE59" s="877" t="s"/>
      <c r="AF59" s="877" t="s"/>
      <c r="AG59" s="877" t="s"/>
      <c r="AH59" s="877" t="s"/>
      <c r="AI59" s="877" t="s"/>
      <c r="AJ59" s="877" t="s"/>
      <c r="AK59" s="877" t="s"/>
      <c r="AL59" s="877" t="s"/>
      <c r="AM59" s="877" t="s"/>
      <c r="AN59" s="877" t="s"/>
      <c r="AO59" s="877" t="s"/>
      <c r="AP59" s="877" t="s"/>
      <c r="AQ59" s="877" t="s"/>
      <c r="AR59" s="877" t="s"/>
      <c r="AS59" s="877" t="s"/>
      <c r="AT59" s="877" t="s"/>
    </row>
    <row r="60" spans="1:46" customHeight="1">
      <c r="A60" s="678" t="s"/>
      <c r="B60" s="882" t="s">
        <v>414</v>
      </c>
      <c r="C60" s="878" t="s">
        <v>393</v>
      </c>
      <c r="D60" s="883">
        <v>1</v>
      </c>
      <c r="E60" s="883">
        <v>0.9375</v>
      </c>
      <c r="F60" s="883">
        <v>0.8824</v>
      </c>
      <c r="G60" s="883">
        <v>0.8333</v>
      </c>
      <c r="H60" s="883">
        <v>0.7895</v>
      </c>
      <c r="I60" s="883">
        <v>0.75</v>
      </c>
      <c r="J60" s="883">
        <v>0.7143</v>
      </c>
      <c r="K60" s="883">
        <v>0.6818</v>
      </c>
      <c r="L60" s="883">
        <v>0.6522</v>
      </c>
      <c r="M60" s="883">
        <v>0.625</v>
      </c>
      <c r="N60" s="883">
        <v>0.6</v>
      </c>
      <c r="O60" s="883">
        <v>0.5769</v>
      </c>
      <c r="P60" s="883">
        <v>0.5556</v>
      </c>
      <c r="Q60" s="883">
        <v>0.5357</v>
      </c>
      <c r="R60" s="883">
        <v>0.5172</v>
      </c>
      <c r="S60" s="883">
        <v>0.5</v>
      </c>
      <c r="T60" s="883">
        <v>0.4839</v>
      </c>
      <c r="U60" s="877" t="s"/>
      <c r="V60" s="876" t="s"/>
      <c r="W60" s="876" t="s"/>
      <c r="X60" s="876" t="s"/>
      <c r="Y60" s="876" t="s"/>
      <c r="Z60" s="877" t="s"/>
      <c r="AA60" s="877" t="s"/>
      <c r="AB60" s="877" t="s"/>
      <c r="AC60" s="877" t="s"/>
      <c r="AD60" s="877" t="s"/>
      <c r="AE60" s="877" t="s"/>
      <c r="AF60" s="877" t="s"/>
      <c r="AG60" s="877" t="s"/>
      <c r="AH60" s="877" t="s"/>
      <c r="AI60" s="877" t="s"/>
      <c r="AJ60" s="877" t="s"/>
      <c r="AK60" s="877" t="s"/>
      <c r="AL60" s="877" t="s"/>
      <c r="AM60" s="877" t="s"/>
      <c r="AN60" s="877" t="s"/>
      <c r="AO60" s="877" t="s"/>
      <c r="AP60" s="877" t="s"/>
      <c r="AQ60" s="877" t="s"/>
      <c r="AR60" s="877" t="s"/>
      <c r="AS60" s="877" t="s"/>
      <c r="AT60" s="877" t="s"/>
    </row>
    <row r="61" spans="1:46" customHeight="1">
      <c r="A61" s="678" t="s"/>
      <c r="B61" s="680" t="s"/>
      <c r="C61" s="878" t="s">
        <v>394</v>
      </c>
      <c r="D61" s="879">
        <v>1.04</v>
      </c>
      <c r="E61" s="879">
        <v>1.11</v>
      </c>
      <c r="F61" s="879">
        <v>1.19</v>
      </c>
      <c r="G61" s="879">
        <v>1.26</v>
      </c>
      <c r="H61" s="879">
        <v>1.34</v>
      </c>
      <c r="I61" s="879">
        <v>1.41</v>
      </c>
      <c r="J61" s="879">
        <v>1.49</v>
      </c>
      <c r="K61" s="879">
        <v>1.56</v>
      </c>
      <c r="L61" s="879">
        <v>1.63</v>
      </c>
      <c r="M61" s="879">
        <v>1.71</v>
      </c>
      <c r="N61" s="879">
        <v>1.78</v>
      </c>
      <c r="O61" s="879">
        <v>1.86</v>
      </c>
      <c r="P61" s="879">
        <v>1.93</v>
      </c>
      <c r="Q61" s="879">
        <v>2.01</v>
      </c>
      <c r="R61" s="879">
        <v>2.08</v>
      </c>
      <c r="S61" s="879">
        <v>2.15</v>
      </c>
      <c r="T61" s="879">
        <v>2.23</v>
      </c>
      <c r="U61" s="877" t="s"/>
      <c r="V61" s="876" t="s"/>
      <c r="W61" s="876" t="s"/>
      <c r="X61" s="876" t="s"/>
      <c r="Y61" s="876" t="s"/>
      <c r="Z61" s="877" t="s"/>
      <c r="AA61" s="877" t="s"/>
      <c r="AB61" s="877" t="s"/>
      <c r="AC61" s="877" t="s"/>
      <c r="AD61" s="877" t="s"/>
      <c r="AE61" s="877" t="s"/>
      <c r="AF61" s="877" t="s"/>
      <c r="AG61" s="877" t="s"/>
      <c r="AH61" s="877" t="s"/>
      <c r="AI61" s="877" t="s"/>
      <c r="AJ61" s="877" t="s"/>
      <c r="AK61" s="877" t="s"/>
      <c r="AL61" s="877" t="s"/>
      <c r="AM61" s="877" t="s"/>
      <c r="AN61" s="877" t="s"/>
      <c r="AO61" s="877" t="s"/>
      <c r="AP61" s="877" t="s"/>
      <c r="AQ61" s="877" t="s"/>
      <c r="AR61" s="877" t="s"/>
      <c r="AS61" s="877" t="s"/>
      <c r="AT61" s="877" t="s"/>
    </row>
    <row r="62" spans="1:46" customHeight="1">
      <c r="A62" s="678" t="s"/>
      <c r="B62" s="680" t="s"/>
      <c r="C62" s="878" t="s">
        <v>395</v>
      </c>
      <c r="D62" s="878">
        <v>15</v>
      </c>
      <c r="E62" s="878">
        <v>16</v>
      </c>
      <c r="F62" s="878">
        <v>17</v>
      </c>
      <c r="G62" s="878">
        <v>18</v>
      </c>
      <c r="H62" s="878">
        <v>19</v>
      </c>
      <c r="I62" s="878">
        <v>20</v>
      </c>
      <c r="J62" s="878">
        <v>21</v>
      </c>
      <c r="K62" s="878">
        <v>22</v>
      </c>
      <c r="L62" s="878">
        <v>23</v>
      </c>
      <c r="M62" s="878">
        <v>24</v>
      </c>
      <c r="N62" s="878">
        <v>25</v>
      </c>
      <c r="O62" s="878">
        <v>26</v>
      </c>
      <c r="P62" s="878">
        <v>27</v>
      </c>
      <c r="Q62" s="878">
        <v>28</v>
      </c>
      <c r="R62" s="878">
        <v>29</v>
      </c>
      <c r="S62" s="878">
        <v>30</v>
      </c>
      <c r="T62" s="878">
        <v>31</v>
      </c>
      <c r="U62" s="877" t="s"/>
      <c r="V62" s="876" t="s"/>
      <c r="W62" s="876" t="s"/>
      <c r="X62" s="876" t="s"/>
      <c r="Y62" s="876" t="s"/>
      <c r="Z62" s="877" t="s"/>
      <c r="AA62" s="877" t="s"/>
      <c r="AB62" s="877" t="s"/>
      <c r="AC62" s="877" t="s"/>
      <c r="AD62" s="877" t="s"/>
      <c r="AE62" s="877" t="s"/>
      <c r="AF62" s="877" t="s"/>
      <c r="AG62" s="877" t="s"/>
      <c r="AH62" s="877" t="s"/>
      <c r="AI62" s="877" t="s"/>
      <c r="AJ62" s="877" t="s"/>
      <c r="AK62" s="877" t="s"/>
      <c r="AL62" s="877" t="s"/>
      <c r="AM62" s="877" t="s"/>
      <c r="AN62" s="877" t="s"/>
      <c r="AO62" s="877" t="s"/>
      <c r="AP62" s="877" t="s"/>
      <c r="AQ62" s="877" t="s"/>
      <c r="AR62" s="877" t="s"/>
      <c r="AS62" s="877" t="s"/>
      <c r="AT62" s="877" t="s"/>
    </row>
    <row r="63" spans="1:46" customHeight="1">
      <c r="A63" s="678" t="s"/>
      <c r="B63" s="882" t="s">
        <v>415</v>
      </c>
      <c r="C63" s="878" t="s">
        <v>393</v>
      </c>
      <c r="D63" s="884">
        <v>1</v>
      </c>
      <c r="E63" s="884">
        <v>0.9231</v>
      </c>
      <c r="F63" s="884">
        <v>0.8571</v>
      </c>
      <c r="G63" s="884">
        <v>0.8</v>
      </c>
      <c r="H63" s="884">
        <v>0.75</v>
      </c>
      <c r="I63" s="884">
        <v>0.7059</v>
      </c>
      <c r="J63" s="884">
        <v>0.6667</v>
      </c>
      <c r="K63" s="884">
        <v>0.6316</v>
      </c>
      <c r="L63" s="884">
        <v>0.6</v>
      </c>
      <c r="M63" s="884">
        <v>0.5714</v>
      </c>
      <c r="N63" s="884">
        <v>0.5455</v>
      </c>
      <c r="O63" s="884">
        <v>0.5217</v>
      </c>
      <c r="P63" s="884">
        <v>0.5</v>
      </c>
      <c r="Q63" s="884">
        <v>0.48</v>
      </c>
      <c r="R63" s="884">
        <v>0.4615</v>
      </c>
      <c r="S63" s="884">
        <v>0.4444</v>
      </c>
      <c r="T63" s="884">
        <v>0.4286</v>
      </c>
      <c r="U63" s="875">
        <v>0.4138</v>
      </c>
      <c r="V63" s="875">
        <v>0.4</v>
      </c>
      <c r="W63" s="875">
        <v>0.3871</v>
      </c>
      <c r="X63" s="875">
        <v>0.375</v>
      </c>
      <c r="Y63" s="876" t="s"/>
      <c r="Z63" s="877" t="s"/>
      <c r="AA63" s="877" t="s"/>
      <c r="AB63" s="877" t="s"/>
      <c r="AC63" s="877" t="s"/>
      <c r="AD63" s="877" t="s"/>
      <c r="AE63" s="877" t="s"/>
      <c r="AF63" s="877" t="s"/>
      <c r="AG63" s="877" t="s"/>
      <c r="AH63" s="877" t="s"/>
      <c r="AI63" s="877" t="s"/>
      <c r="AJ63" s="877" t="s"/>
      <c r="AK63" s="877" t="s"/>
      <c r="AL63" s="877" t="s"/>
      <c r="AM63" s="877" t="s"/>
      <c r="AN63" s="877" t="s"/>
      <c r="AO63" s="877" t="s"/>
      <c r="AP63" s="877" t="s"/>
      <c r="AQ63" s="877" t="s"/>
      <c r="AR63" s="877" t="s"/>
      <c r="AS63" s="877" t="s"/>
      <c r="AT63" s="877" t="s"/>
    </row>
    <row r="64" spans="1:46" customHeight="1">
      <c r="A64" s="678" t="s"/>
      <c r="B64" s="680" t="s"/>
      <c r="C64" s="878" t="s">
        <v>394</v>
      </c>
      <c r="D64" s="885">
        <v>1.08</v>
      </c>
      <c r="E64" s="885">
        <v>1.33</v>
      </c>
      <c r="F64" s="885">
        <v>1.39</v>
      </c>
      <c r="G64" s="886">
        <v>1.44</v>
      </c>
      <c r="H64" s="885">
        <v>1.5</v>
      </c>
      <c r="I64" s="885">
        <v>1.74</v>
      </c>
      <c r="J64" s="885">
        <v>1.8</v>
      </c>
      <c r="K64" s="885">
        <v>1.86</v>
      </c>
      <c r="L64" s="885">
        <v>1.91</v>
      </c>
      <c r="M64" s="885">
        <v>2.13</v>
      </c>
      <c r="N64" s="885">
        <v>2.18</v>
      </c>
      <c r="O64" s="885">
        <v>2.23</v>
      </c>
      <c r="P64" s="885">
        <v>2.29</v>
      </c>
      <c r="Q64" s="885">
        <v>2.48</v>
      </c>
      <c r="R64" s="885">
        <v>2.55</v>
      </c>
      <c r="S64" s="885">
        <v>2.6</v>
      </c>
      <c r="T64" s="885">
        <v>2.66</v>
      </c>
      <c r="U64" s="885">
        <v>2.83</v>
      </c>
      <c r="V64" s="885">
        <v>2.9</v>
      </c>
      <c r="W64" s="885">
        <v>2.95</v>
      </c>
      <c r="X64" s="885">
        <v>3</v>
      </c>
      <c r="Y64" s="876" t="s"/>
      <c r="Z64" s="877" t="s"/>
      <c r="AA64" s="877" t="s"/>
      <c r="AB64" s="877" t="s"/>
      <c r="AC64" s="877" t="s"/>
      <c r="AD64" s="877" t="s"/>
      <c r="AE64" s="877" t="s"/>
      <c r="AF64" s="877" t="s"/>
      <c r="AG64" s="877" t="s"/>
      <c r="AH64" s="877" t="s"/>
      <c r="AI64" s="877" t="s"/>
      <c r="AJ64" s="877" t="s"/>
      <c r="AK64" s="877" t="s"/>
      <c r="AL64" s="877" t="s"/>
      <c r="AM64" s="877" t="s"/>
      <c r="AN64" s="877" t="s"/>
      <c r="AO64" s="877" t="s"/>
      <c r="AP64" s="877" t="s"/>
      <c r="AQ64" s="877" t="s"/>
      <c r="AR64" s="877" t="s"/>
      <c r="AS64" s="877" t="s"/>
      <c r="AT64" s="877" t="s"/>
    </row>
    <row r="65" spans="1:46" customHeight="1">
      <c r="A65" s="678" t="s"/>
      <c r="B65" s="680" t="s"/>
      <c r="C65" s="878" t="s">
        <v>395</v>
      </c>
      <c r="D65" s="881">
        <v>12</v>
      </c>
      <c r="E65" s="881">
        <v>13</v>
      </c>
      <c r="F65" s="881">
        <v>14</v>
      </c>
      <c r="G65" s="881">
        <v>15</v>
      </c>
      <c r="H65" s="881">
        <v>16</v>
      </c>
      <c r="I65" s="881">
        <v>17</v>
      </c>
      <c r="J65" s="881">
        <v>18</v>
      </c>
      <c r="K65" s="881">
        <v>19</v>
      </c>
      <c r="L65" s="881">
        <v>20</v>
      </c>
      <c r="M65" s="881">
        <v>21</v>
      </c>
      <c r="N65" s="881">
        <v>22</v>
      </c>
      <c r="O65" s="881">
        <v>23</v>
      </c>
      <c r="P65" s="881">
        <v>24</v>
      </c>
      <c r="Q65" s="881">
        <v>25</v>
      </c>
      <c r="R65" s="881">
        <v>26</v>
      </c>
      <c r="S65" s="881">
        <v>27</v>
      </c>
      <c r="T65" s="881">
        <v>28</v>
      </c>
      <c r="U65" s="881">
        <v>29</v>
      </c>
      <c r="V65" s="881">
        <v>30</v>
      </c>
      <c r="W65" s="881">
        <v>31</v>
      </c>
      <c r="X65" s="881">
        <v>32</v>
      </c>
      <c r="Y65" s="876" t="s"/>
      <c r="Z65" s="877" t="s"/>
      <c r="AA65" s="877" t="s"/>
      <c r="AB65" s="877" t="s"/>
      <c r="AC65" s="877" t="s"/>
      <c r="AD65" s="877" t="s"/>
      <c r="AE65" s="877" t="s"/>
      <c r="AF65" s="877" t="s"/>
      <c r="AG65" s="877" t="s"/>
      <c r="AH65" s="877" t="s"/>
      <c r="AI65" s="877" t="s"/>
      <c r="AJ65" s="877" t="s"/>
      <c r="AK65" s="877" t="s"/>
      <c r="AL65" s="877" t="s"/>
      <c r="AM65" s="877" t="s"/>
      <c r="AN65" s="877" t="s"/>
      <c r="AO65" s="877" t="s"/>
      <c r="AP65" s="877" t="s"/>
      <c r="AQ65" s="877" t="s"/>
      <c r="AR65" s="877" t="s"/>
      <c r="AS65" s="877" t="s"/>
      <c r="AT65" s="877" t="s"/>
    </row>
    <row r="66" spans="1:46" customHeight="1">
      <c r="A66" s="678" t="s"/>
      <c r="B66" s="882" t="s">
        <v>416</v>
      </c>
      <c r="C66" s="878" t="s">
        <v>393</v>
      </c>
      <c r="D66" s="884">
        <v>1</v>
      </c>
      <c r="E66" s="884">
        <v>0.9231</v>
      </c>
      <c r="F66" s="884">
        <v>0.8571</v>
      </c>
      <c r="G66" s="884">
        <v>0.8</v>
      </c>
      <c r="H66" s="884">
        <v>0.75</v>
      </c>
      <c r="I66" s="884">
        <v>0.7059</v>
      </c>
      <c r="J66" s="884">
        <v>0.6667</v>
      </c>
      <c r="K66" s="884">
        <v>0.6316</v>
      </c>
      <c r="L66" s="884">
        <v>0.6</v>
      </c>
      <c r="M66" s="884">
        <v>0.5714</v>
      </c>
      <c r="N66" s="884">
        <v>0.5455</v>
      </c>
      <c r="O66" s="884">
        <v>0.5217</v>
      </c>
      <c r="P66" s="884">
        <v>0.5</v>
      </c>
      <c r="Q66" s="884">
        <v>0.48</v>
      </c>
      <c r="R66" s="884">
        <v>0.4615</v>
      </c>
      <c r="S66" s="884">
        <v>0.4444</v>
      </c>
      <c r="T66" s="884">
        <v>0.4286</v>
      </c>
      <c r="U66" s="884">
        <v>0.4138</v>
      </c>
      <c r="V66" s="884">
        <v>0.4</v>
      </c>
      <c r="W66" s="887">
        <v>0.3871</v>
      </c>
      <c r="X66" s="888">
        <v>0.375</v>
      </c>
      <c r="Y66" s="876" t="s"/>
      <c r="Z66" s="877" t="s"/>
      <c r="AA66" s="877" t="s"/>
      <c r="AB66" s="877" t="s"/>
      <c r="AC66" s="877" t="s"/>
      <c r="AD66" s="877" t="s"/>
      <c r="AE66" s="877" t="s"/>
      <c r="AF66" s="877" t="s"/>
      <c r="AG66" s="877" t="s"/>
      <c r="AH66" s="877" t="s"/>
      <c r="AI66" s="877" t="s"/>
      <c r="AJ66" s="877" t="s"/>
      <c r="AK66" s="877" t="s"/>
      <c r="AL66" s="877" t="s"/>
      <c r="AM66" s="877" t="s"/>
      <c r="AN66" s="877" t="s"/>
      <c r="AO66" s="877" t="s"/>
      <c r="AP66" s="877" t="s"/>
      <c r="AQ66" s="877" t="s"/>
      <c r="AR66" s="877" t="s"/>
      <c r="AS66" s="877" t="s"/>
      <c r="AT66" s="877" t="s"/>
    </row>
    <row r="67" spans="1:46" customHeight="1">
      <c r="A67" s="678" t="s"/>
      <c r="B67" s="680" t="s"/>
      <c r="C67" s="878" t="s">
        <v>394</v>
      </c>
      <c r="D67" s="881">
        <v>0.87</v>
      </c>
      <c r="E67" s="881">
        <v>1.05</v>
      </c>
      <c r="F67" s="881">
        <v>1.12</v>
      </c>
      <c r="G67" s="889">
        <v>1.16</v>
      </c>
      <c r="H67" s="881">
        <v>1.22</v>
      </c>
      <c r="I67" s="881">
        <v>1.4</v>
      </c>
      <c r="J67" s="881">
        <v>1.46</v>
      </c>
      <c r="K67" s="881">
        <v>1.52</v>
      </c>
      <c r="L67" s="881">
        <v>1.57</v>
      </c>
      <c r="M67" s="881">
        <v>1.75</v>
      </c>
      <c r="N67" s="881">
        <v>1.81</v>
      </c>
      <c r="O67" s="881">
        <v>1.86</v>
      </c>
      <c r="P67" s="881">
        <v>1.92</v>
      </c>
      <c r="Q67" s="881">
        <v>2.1</v>
      </c>
      <c r="R67" s="881">
        <v>2.16</v>
      </c>
      <c r="S67" s="881">
        <v>2.21</v>
      </c>
      <c r="T67" s="881">
        <v>2.27</v>
      </c>
      <c r="U67" s="881">
        <v>2.45</v>
      </c>
      <c r="V67" s="881">
        <v>2.51</v>
      </c>
      <c r="W67" s="876">
        <v>2.56</v>
      </c>
      <c r="X67" s="890">
        <v>2.62</v>
      </c>
      <c r="Y67" s="876" t="s"/>
      <c r="Z67" s="877" t="s"/>
      <c r="AA67" s="877" t="s"/>
      <c r="AB67" s="877" t="s"/>
      <c r="AC67" s="877" t="s"/>
      <c r="AD67" s="877" t="s"/>
      <c r="AE67" s="877" t="s"/>
      <c r="AF67" s="877" t="s"/>
      <c r="AG67" s="877" t="s"/>
      <c r="AH67" s="877" t="s"/>
      <c r="AI67" s="877" t="s"/>
      <c r="AJ67" s="877" t="s"/>
      <c r="AK67" s="877" t="s"/>
      <c r="AL67" s="877" t="s"/>
      <c r="AM67" s="877" t="s"/>
      <c r="AN67" s="877" t="s"/>
      <c r="AO67" s="877" t="s"/>
      <c r="AP67" s="877" t="s"/>
      <c r="AQ67" s="877" t="s"/>
      <c r="AR67" s="877" t="s"/>
      <c r="AS67" s="877" t="s"/>
      <c r="AT67" s="877" t="s"/>
    </row>
    <row r="68" spans="1:46" customHeight="1">
      <c r="A68" s="678" t="s"/>
      <c r="B68" s="680" t="s"/>
      <c r="C68" s="878" t="s">
        <v>395</v>
      </c>
      <c r="D68" s="881">
        <v>12</v>
      </c>
      <c r="E68" s="881">
        <v>13</v>
      </c>
      <c r="F68" s="881">
        <v>14</v>
      </c>
      <c r="G68" s="881">
        <v>15</v>
      </c>
      <c r="H68" s="881">
        <v>16</v>
      </c>
      <c r="I68" s="881">
        <v>17</v>
      </c>
      <c r="J68" s="881">
        <v>18</v>
      </c>
      <c r="K68" s="881">
        <v>19</v>
      </c>
      <c r="L68" s="881">
        <v>20</v>
      </c>
      <c r="M68" s="881">
        <v>21</v>
      </c>
      <c r="N68" s="881">
        <v>22</v>
      </c>
      <c r="O68" s="881">
        <v>23</v>
      </c>
      <c r="P68" s="881">
        <v>24</v>
      </c>
      <c r="Q68" s="881">
        <v>25</v>
      </c>
      <c r="R68" s="881">
        <v>26</v>
      </c>
      <c r="S68" s="881">
        <v>27</v>
      </c>
      <c r="T68" s="881">
        <v>28</v>
      </c>
      <c r="U68" s="881">
        <v>29</v>
      </c>
      <c r="V68" s="881">
        <v>30</v>
      </c>
      <c r="W68" s="891">
        <v>31</v>
      </c>
      <c r="X68" s="890">
        <v>32</v>
      </c>
      <c r="Y68" s="876" t="s"/>
      <c r="Z68" s="877" t="s"/>
      <c r="AA68" s="877" t="s"/>
      <c r="AB68" s="877" t="s"/>
      <c r="AC68" s="877" t="s"/>
      <c r="AD68" s="877" t="s"/>
      <c r="AE68" s="877" t="s"/>
      <c r="AF68" s="877" t="s"/>
      <c r="AG68" s="877" t="s"/>
      <c r="AH68" s="877" t="s"/>
      <c r="AI68" s="877" t="s"/>
      <c r="AJ68" s="877" t="s"/>
      <c r="AK68" s="877" t="s"/>
      <c r="AL68" s="877" t="s"/>
      <c r="AM68" s="877" t="s"/>
      <c r="AN68" s="877" t="s"/>
      <c r="AO68" s="877" t="s"/>
      <c r="AP68" s="877" t="s"/>
      <c r="AQ68" s="877" t="s"/>
      <c r="AR68" s="877" t="s"/>
      <c r="AS68" s="877" t="s"/>
      <c r="AT68" s="877" t="s"/>
    </row>
    <row r="69" spans="1:46" customHeight="1">
      <c r="A69" s="678" t="s"/>
      <c r="B69" s="882" t="s">
        <v>417</v>
      </c>
      <c r="C69" s="878" t="s">
        <v>393</v>
      </c>
      <c r="D69" s="884">
        <v>1</v>
      </c>
      <c r="E69" s="884">
        <v>0.9091</v>
      </c>
      <c r="F69" s="884">
        <v>0.8333</v>
      </c>
      <c r="G69" s="884">
        <v>0.7692</v>
      </c>
      <c r="H69" s="884">
        <v>0.7143</v>
      </c>
      <c r="I69" s="884">
        <v>0.6667</v>
      </c>
      <c r="J69" s="884">
        <v>0.625</v>
      </c>
      <c r="K69" s="884">
        <v>0.5882</v>
      </c>
      <c r="L69" s="884">
        <v>0.5556</v>
      </c>
      <c r="M69" s="884">
        <v>0.5263</v>
      </c>
      <c r="N69" s="884">
        <v>0.5</v>
      </c>
      <c r="O69" s="884">
        <v>0.4762</v>
      </c>
      <c r="P69" s="884">
        <v>0.4545</v>
      </c>
      <c r="Q69" s="884">
        <v>0.4348</v>
      </c>
      <c r="R69" s="884">
        <v>0.4167</v>
      </c>
      <c r="S69" s="884">
        <v>0.4</v>
      </c>
      <c r="T69" s="884">
        <v>0.3846</v>
      </c>
      <c r="U69" s="884">
        <v>0.3704</v>
      </c>
      <c r="V69" s="884">
        <v>0.3571</v>
      </c>
      <c r="W69" s="884">
        <v>0.3448</v>
      </c>
      <c r="X69" s="884">
        <v>0.3333</v>
      </c>
      <c r="Y69" s="876" t="s"/>
      <c r="Z69" s="877" t="s"/>
      <c r="AA69" s="877" t="s"/>
      <c r="AB69" s="877" t="s"/>
      <c r="AC69" s="877" t="s"/>
      <c r="AD69" s="877" t="s"/>
      <c r="AE69" s="877" t="s"/>
      <c r="AF69" s="877" t="s"/>
      <c r="AG69" s="877" t="s"/>
      <c r="AH69" s="877" t="s"/>
      <c r="AI69" s="877" t="s"/>
      <c r="AJ69" s="877" t="s"/>
      <c r="AK69" s="877" t="s"/>
      <c r="AL69" s="877" t="s"/>
      <c r="AM69" s="877" t="s"/>
      <c r="AN69" s="877" t="s"/>
      <c r="AO69" s="877" t="s"/>
      <c r="AP69" s="877" t="s"/>
      <c r="AQ69" s="877" t="s"/>
      <c r="AR69" s="877" t="s"/>
      <c r="AS69" s="877" t="s"/>
      <c r="AT69" s="877" t="s"/>
    </row>
    <row r="70" spans="1:46" customHeight="1">
      <c r="A70" s="678" t="s"/>
      <c r="B70" s="680" t="s"/>
      <c r="C70" s="878" t="s">
        <v>394</v>
      </c>
      <c r="D70" s="885">
        <v>1.14</v>
      </c>
      <c r="E70" s="885">
        <v>1.22</v>
      </c>
      <c r="F70" s="885">
        <v>1.28</v>
      </c>
      <c r="G70" s="885">
        <v>1.53</v>
      </c>
      <c r="H70" s="885">
        <v>1.59</v>
      </c>
      <c r="I70" s="885">
        <v>1.66</v>
      </c>
      <c r="J70" s="885">
        <v>1.92</v>
      </c>
      <c r="K70" s="885">
        <v>1.98</v>
      </c>
      <c r="L70" s="885">
        <v>2.04</v>
      </c>
      <c r="M70" s="885">
        <v>2.3</v>
      </c>
      <c r="N70" s="885">
        <v>2.37</v>
      </c>
      <c r="O70" s="885">
        <v>2.43</v>
      </c>
      <c r="P70" s="885">
        <v>2.68</v>
      </c>
      <c r="Q70" s="885">
        <v>2.74</v>
      </c>
      <c r="R70" s="885">
        <v>2.81</v>
      </c>
      <c r="S70" s="885">
        <v>3.06</v>
      </c>
      <c r="T70" s="885">
        <v>3.13</v>
      </c>
      <c r="U70" s="885">
        <v>3.19</v>
      </c>
      <c r="V70" s="885">
        <v>3.45</v>
      </c>
      <c r="W70" s="885">
        <v>3.51</v>
      </c>
      <c r="X70" s="885">
        <v>3.58</v>
      </c>
      <c r="Y70" s="876" t="s"/>
      <c r="Z70" s="877" t="s"/>
      <c r="AA70" s="877" t="s"/>
      <c r="AB70" s="877" t="s"/>
      <c r="AC70" s="877" t="s"/>
      <c r="AD70" s="877" t="s"/>
      <c r="AE70" s="877" t="s"/>
      <c r="AF70" s="877" t="s"/>
      <c r="AG70" s="877" t="s"/>
      <c r="AH70" s="877" t="s"/>
      <c r="AI70" s="877" t="s"/>
      <c r="AJ70" s="877" t="s"/>
      <c r="AK70" s="877" t="s"/>
      <c r="AL70" s="877" t="s"/>
      <c r="AM70" s="877" t="s"/>
      <c r="AN70" s="877" t="s"/>
      <c r="AO70" s="877" t="s"/>
      <c r="AP70" s="877" t="s"/>
      <c r="AQ70" s="877" t="s"/>
      <c r="AR70" s="877" t="s"/>
      <c r="AS70" s="877" t="s"/>
      <c r="AT70" s="877" t="s"/>
    </row>
    <row r="71" spans="1:46" customHeight="1">
      <c r="A71" s="678" t="s"/>
      <c r="B71" s="680" t="s"/>
      <c r="C71" s="878" t="s">
        <v>395</v>
      </c>
      <c r="D71" s="881">
        <v>10</v>
      </c>
      <c r="E71" s="881">
        <v>11</v>
      </c>
      <c r="F71" s="881">
        <v>12</v>
      </c>
      <c r="G71" s="881">
        <v>13</v>
      </c>
      <c r="H71" s="881">
        <v>14</v>
      </c>
      <c r="I71" s="881">
        <v>15</v>
      </c>
      <c r="J71" s="881">
        <v>16</v>
      </c>
      <c r="K71" s="881">
        <v>17</v>
      </c>
      <c r="L71" s="881">
        <v>18</v>
      </c>
      <c r="M71" s="881">
        <v>19</v>
      </c>
      <c r="N71" s="881">
        <v>20</v>
      </c>
      <c r="O71" s="881">
        <v>21</v>
      </c>
      <c r="P71" s="881">
        <v>22</v>
      </c>
      <c r="Q71" s="881">
        <v>23</v>
      </c>
      <c r="R71" s="881">
        <v>24</v>
      </c>
      <c r="S71" s="881">
        <v>25</v>
      </c>
      <c r="T71" s="881">
        <v>26</v>
      </c>
      <c r="U71" s="881">
        <v>27</v>
      </c>
      <c r="V71" s="881">
        <v>28</v>
      </c>
      <c r="W71" s="881">
        <v>29</v>
      </c>
      <c r="X71" s="881">
        <v>30</v>
      </c>
      <c r="Y71" s="876" t="s"/>
      <c r="Z71" s="877" t="s"/>
      <c r="AA71" s="877" t="s"/>
      <c r="AB71" s="877" t="s"/>
      <c r="AC71" s="877" t="s"/>
      <c r="AD71" s="877" t="s"/>
      <c r="AE71" s="877" t="s"/>
      <c r="AF71" s="877" t="s"/>
      <c r="AG71" s="877" t="s"/>
      <c r="AH71" s="877" t="s"/>
      <c r="AI71" s="877" t="s"/>
      <c r="AJ71" s="877" t="s"/>
      <c r="AK71" s="877" t="s"/>
      <c r="AL71" s="877" t="s"/>
      <c r="AM71" s="877" t="s"/>
      <c r="AN71" s="862" t="s"/>
      <c r="AO71" s="862" t="s"/>
      <c r="AP71" s="862" t="s"/>
      <c r="AQ71" s="862" t="s"/>
      <c r="AR71" s="877" t="s"/>
      <c r="AS71" s="877" t="s"/>
      <c r="AT71" s="877" t="s"/>
    </row>
    <row r="72" spans="1:46" customHeight="1">
      <c r="A72" s="892" t="s">
        <v>319</v>
      </c>
      <c r="B72" s="872" t="s">
        <v>418</v>
      </c>
      <c r="C72" s="873" t="s">
        <v>393</v>
      </c>
      <c r="D72" s="875">
        <v>1</v>
      </c>
      <c r="E72" s="875">
        <v>0.9286</v>
      </c>
      <c r="F72" s="875">
        <v>0.8667</v>
      </c>
      <c r="G72" s="875">
        <v>0.8125</v>
      </c>
      <c r="H72" s="875">
        <v>0.7647</v>
      </c>
      <c r="I72" s="875">
        <v>0.7222</v>
      </c>
      <c r="J72" s="875">
        <v>0.6842</v>
      </c>
      <c r="K72" s="875">
        <v>0.65</v>
      </c>
      <c r="L72" s="875">
        <v>0.619</v>
      </c>
      <c r="M72" s="875">
        <v>0.5909</v>
      </c>
      <c r="N72" s="875">
        <v>0.5652</v>
      </c>
      <c r="O72" s="875">
        <v>0.5417</v>
      </c>
      <c r="P72" s="875">
        <v>0.52</v>
      </c>
      <c r="Q72" s="875">
        <v>0.5</v>
      </c>
      <c r="R72" s="875">
        <v>0.4815</v>
      </c>
      <c r="S72" s="875">
        <v>0.4643</v>
      </c>
      <c r="T72" s="875">
        <v>0.4483</v>
      </c>
      <c r="U72" s="875">
        <v>0.4333</v>
      </c>
      <c r="V72" s="875">
        <v>0.4194</v>
      </c>
      <c r="W72" s="875">
        <v>0.4063</v>
      </c>
      <c r="X72" s="875">
        <v>0.3939</v>
      </c>
      <c r="Y72" s="875">
        <v>0.3824</v>
      </c>
      <c r="Z72" s="874">
        <v>0.3714</v>
      </c>
      <c r="AA72" s="874">
        <f>13/AA74</f>
        <v>0.361111111111111</v>
      </c>
      <c r="AB72" s="874">
        <f>13/AB74</f>
        <v>0.351351351351351</v>
      </c>
      <c r="AC72" s="874">
        <f>13/AC74</f>
        <v>0.342105263157895</v>
      </c>
      <c r="AD72" s="874">
        <f>13/AD74</f>
        <v>0.333333333333333</v>
      </c>
      <c r="AE72" s="874">
        <f>13/AE74</f>
        <v>0.325</v>
      </c>
      <c r="AF72" s="874">
        <f>13/AF74</f>
        <v>0.317073170731707</v>
      </c>
      <c r="AG72" s="874">
        <f>13/AG74</f>
        <v>0.30952380952381</v>
      </c>
      <c r="AH72" s="874">
        <f>13/AH74</f>
        <v>0.302325581395349</v>
      </c>
      <c r="AI72" s="874">
        <f>13/AI74</f>
        <v>0.295454545454546</v>
      </c>
      <c r="AJ72" s="874">
        <f>13/AJ74</f>
        <v>0.288888888888889</v>
      </c>
      <c r="AK72" s="874">
        <f>13/AK74</f>
        <v>0.282608695652174</v>
      </c>
      <c r="AL72" s="874">
        <f>13/AL74</f>
        <v>0.276595744680851</v>
      </c>
      <c r="AM72" s="874">
        <f>13/AM74</f>
        <v>0.270833333333333</v>
      </c>
      <c r="AN72" s="862" t="s"/>
      <c r="AO72" s="862" t="s"/>
      <c r="AP72" s="862" t="s"/>
      <c r="AQ72" s="862" t="s"/>
      <c r="AR72" s="893" t="s"/>
      <c r="AS72" s="893" t="s"/>
      <c r="AT72" s="893" t="s"/>
    </row>
    <row r="73" spans="1:46" customHeight="1">
      <c r="A73" s="679" t="s"/>
      <c r="B73" s="678" t="s"/>
      <c r="C73" s="878" t="s">
        <v>419</v>
      </c>
      <c r="D73" s="885">
        <v>1.33</v>
      </c>
      <c r="E73" s="885">
        <v>1.41</v>
      </c>
      <c r="F73" s="886">
        <v>1.48</v>
      </c>
      <c r="G73" s="885">
        <v>1.54</v>
      </c>
      <c r="H73" s="885">
        <v>1.61</v>
      </c>
      <c r="I73" s="885">
        <v>1.68</v>
      </c>
      <c r="J73" s="885">
        <v>1.74</v>
      </c>
      <c r="K73" s="885">
        <v>1.81</v>
      </c>
      <c r="L73" s="885">
        <v>1.88</v>
      </c>
      <c r="M73" s="885">
        <v>1.94</v>
      </c>
      <c r="N73" s="885">
        <v>2.01</v>
      </c>
      <c r="O73" s="885">
        <v>2.08</v>
      </c>
      <c r="P73" s="885">
        <v>2.14</v>
      </c>
      <c r="Q73" s="885">
        <v>2.21</v>
      </c>
      <c r="R73" s="885">
        <v>2.28</v>
      </c>
      <c r="S73" s="885">
        <v>2.34</v>
      </c>
      <c r="T73" s="885">
        <v>2.41</v>
      </c>
      <c r="U73" s="885">
        <v>2.48</v>
      </c>
      <c r="V73" s="885">
        <v>2.54</v>
      </c>
      <c r="W73" s="885">
        <v>2.61</v>
      </c>
      <c r="X73" s="885">
        <v>2.68</v>
      </c>
      <c r="Y73" s="885">
        <v>2.74</v>
      </c>
      <c r="Z73" s="879">
        <v>2.81</v>
      </c>
      <c r="AA73" s="879">
        <v>2.88</v>
      </c>
      <c r="AB73" s="879">
        <v>2.94</v>
      </c>
      <c r="AC73" s="879">
        <v>3.01</v>
      </c>
      <c r="AD73" s="879">
        <v>3.08</v>
      </c>
      <c r="AE73" s="879">
        <v>3.14</v>
      </c>
      <c r="AF73" s="879">
        <v>3.21</v>
      </c>
      <c r="AG73" s="879">
        <v>3.28</v>
      </c>
      <c r="AH73" s="879">
        <v>3.34</v>
      </c>
      <c r="AI73" s="879">
        <v>3.41</v>
      </c>
      <c r="AJ73" s="879">
        <v>3.48</v>
      </c>
      <c r="AK73" s="879">
        <v>3.54</v>
      </c>
      <c r="AL73" s="879">
        <v>3.61</v>
      </c>
      <c r="AM73" s="879">
        <v>3.68</v>
      </c>
      <c r="AN73" s="862" t="s"/>
      <c r="AO73" s="862" t="s"/>
      <c r="AP73" s="862" t="s"/>
      <c r="AQ73" s="862" t="s"/>
      <c r="AR73" s="894" t="s"/>
      <c r="AS73" s="894" t="s"/>
      <c r="AT73" s="894" t="s"/>
    </row>
    <row r="74" spans="1:46" customHeight="1">
      <c r="A74" s="679" t="s"/>
      <c r="B74" s="678" t="s"/>
      <c r="C74" s="878" t="s">
        <v>395</v>
      </c>
      <c r="D74" s="881">
        <v>13</v>
      </c>
      <c r="E74" s="881">
        <v>14</v>
      </c>
      <c r="F74" s="881">
        <v>15</v>
      </c>
      <c r="G74" s="881">
        <v>16</v>
      </c>
      <c r="H74" s="881">
        <v>17</v>
      </c>
      <c r="I74" s="881">
        <v>18</v>
      </c>
      <c r="J74" s="881">
        <v>19</v>
      </c>
      <c r="K74" s="881">
        <v>20</v>
      </c>
      <c r="L74" s="881">
        <v>21</v>
      </c>
      <c r="M74" s="881">
        <v>22</v>
      </c>
      <c r="N74" s="881">
        <v>23</v>
      </c>
      <c r="O74" s="881">
        <v>24</v>
      </c>
      <c r="P74" s="881">
        <v>25</v>
      </c>
      <c r="Q74" s="881">
        <v>26</v>
      </c>
      <c r="R74" s="881">
        <v>27</v>
      </c>
      <c r="S74" s="881">
        <v>28</v>
      </c>
      <c r="T74" s="881">
        <v>29</v>
      </c>
      <c r="U74" s="881">
        <v>30</v>
      </c>
      <c r="V74" s="881">
        <v>31</v>
      </c>
      <c r="W74" s="881">
        <v>32</v>
      </c>
      <c r="X74" s="881">
        <v>33</v>
      </c>
      <c r="Y74" s="881">
        <v>34</v>
      </c>
      <c r="Z74" s="878">
        <v>35</v>
      </c>
      <c r="AA74" s="881">
        <v>36</v>
      </c>
      <c r="AB74" s="878">
        <v>37</v>
      </c>
      <c r="AC74" s="881">
        <v>38</v>
      </c>
      <c r="AD74" s="878">
        <v>39</v>
      </c>
      <c r="AE74" s="881">
        <v>40</v>
      </c>
      <c r="AF74" s="878">
        <v>41</v>
      </c>
      <c r="AG74" s="881">
        <v>42</v>
      </c>
      <c r="AH74" s="878">
        <v>43</v>
      </c>
      <c r="AI74" s="881">
        <v>44</v>
      </c>
      <c r="AJ74" s="878">
        <v>45</v>
      </c>
      <c r="AK74" s="881">
        <v>46</v>
      </c>
      <c r="AL74" s="878">
        <v>47</v>
      </c>
      <c r="AM74" s="881">
        <v>48</v>
      </c>
      <c r="AN74" s="862" t="s"/>
      <c r="AO74" s="862" t="s"/>
      <c r="AP74" s="862" t="s"/>
      <c r="AQ74" s="862" t="s"/>
      <c r="AR74" s="862" t="s"/>
      <c r="AS74" s="862" t="s"/>
      <c r="AT74" s="877" t="s"/>
    </row>
    <row r="75" spans="1:46" customHeight="1">
      <c r="A75" s="679" t="s"/>
      <c r="B75" s="882" t="s">
        <v>420</v>
      </c>
      <c r="C75" s="878" t="s">
        <v>393</v>
      </c>
      <c r="D75" s="884">
        <v>1</v>
      </c>
      <c r="E75" s="884">
        <v>0.9286</v>
      </c>
      <c r="F75" s="884">
        <v>0.8667</v>
      </c>
      <c r="G75" s="884">
        <v>0.8125</v>
      </c>
      <c r="H75" s="884">
        <v>0.7647</v>
      </c>
      <c r="I75" s="884">
        <v>0.7222</v>
      </c>
      <c r="J75" s="884">
        <v>0.6842</v>
      </c>
      <c r="K75" s="884">
        <v>0.65</v>
      </c>
      <c r="L75" s="884">
        <v>0.619</v>
      </c>
      <c r="M75" s="884">
        <v>0.5909</v>
      </c>
      <c r="N75" s="884">
        <v>0.5652</v>
      </c>
      <c r="O75" s="884">
        <v>0.5417</v>
      </c>
      <c r="P75" s="884">
        <v>0.52</v>
      </c>
      <c r="Q75" s="884">
        <v>0.5</v>
      </c>
      <c r="R75" s="884">
        <v>0.4815</v>
      </c>
      <c r="S75" s="884">
        <v>0.4643</v>
      </c>
      <c r="T75" s="884">
        <v>0.4483</v>
      </c>
      <c r="U75" s="884">
        <v>0.4333</v>
      </c>
      <c r="V75" s="884">
        <v>0.4194</v>
      </c>
      <c r="W75" s="884">
        <v>0.4063</v>
      </c>
      <c r="X75" s="884">
        <v>0.3939</v>
      </c>
      <c r="Y75" s="884">
        <v>0.3824</v>
      </c>
      <c r="Z75" s="883">
        <v>0.3714</v>
      </c>
      <c r="AA75" s="874">
        <f>13/AA77</f>
        <v>0.361111111111111</v>
      </c>
      <c r="AB75" s="874">
        <f>13/AB77</f>
        <v>0.351351351351351</v>
      </c>
      <c r="AC75" s="874">
        <f>13/AC77</f>
        <v>0.342105263157895</v>
      </c>
      <c r="AD75" s="874">
        <f>13/AD77</f>
        <v>0.333333333333333</v>
      </c>
      <c r="AE75" s="874">
        <f>13/AE77</f>
        <v>0.325</v>
      </c>
      <c r="AF75" s="874">
        <f>13/AF77</f>
        <v>0.317073170731707</v>
      </c>
      <c r="AG75" s="874">
        <f>13/AG77</f>
        <v>0.30952380952381</v>
      </c>
      <c r="AH75" s="874">
        <f>13/AH77</f>
        <v>0.302325581395349</v>
      </c>
      <c r="AI75" s="874">
        <f>13/AI77</f>
        <v>0.295454545454546</v>
      </c>
      <c r="AJ75" s="874">
        <f>13/AJ77</f>
        <v>0.288888888888889</v>
      </c>
      <c r="AK75" s="874">
        <f>13/AK77</f>
        <v>0.282608695652174</v>
      </c>
      <c r="AL75" s="874">
        <f>13/AL77</f>
        <v>0.276595744680851</v>
      </c>
      <c r="AM75" s="874">
        <f>13/AM77</f>
        <v>0.270833333333333</v>
      </c>
      <c r="AN75" s="862" t="s"/>
      <c r="AO75" s="862" t="s"/>
      <c r="AP75" s="862" t="s"/>
      <c r="AQ75" s="862" t="s"/>
      <c r="AR75" s="862" t="s"/>
      <c r="AS75" s="862" t="s"/>
      <c r="AT75" s="893" t="s"/>
    </row>
    <row r="76" spans="1:46" customHeight="1">
      <c r="A76" s="679" t="s"/>
      <c r="B76" s="680" t="s"/>
      <c r="C76" s="878" t="s">
        <v>419</v>
      </c>
      <c r="D76" s="885">
        <v>1.07</v>
      </c>
      <c r="E76" s="885">
        <v>1.13</v>
      </c>
      <c r="F76" s="886">
        <v>1.2</v>
      </c>
      <c r="G76" s="885">
        <v>1.27</v>
      </c>
      <c r="H76" s="885">
        <v>1.33</v>
      </c>
      <c r="I76" s="885">
        <v>1.4</v>
      </c>
      <c r="J76" s="885">
        <v>1.47</v>
      </c>
      <c r="K76" s="885">
        <v>1.53</v>
      </c>
      <c r="L76" s="885">
        <v>1.6</v>
      </c>
      <c r="M76" s="885">
        <v>1.67</v>
      </c>
      <c r="N76" s="885">
        <v>1.73</v>
      </c>
      <c r="O76" s="885">
        <v>1.8</v>
      </c>
      <c r="P76" s="885">
        <v>1.87</v>
      </c>
      <c r="Q76" s="885">
        <v>1.93</v>
      </c>
      <c r="R76" s="885">
        <v>2</v>
      </c>
      <c r="S76" s="885">
        <v>2.07</v>
      </c>
      <c r="T76" s="885">
        <v>2.13</v>
      </c>
      <c r="U76" s="885">
        <v>2.2</v>
      </c>
      <c r="V76" s="895">
        <v>2.27</v>
      </c>
      <c r="W76" s="885">
        <v>2.33</v>
      </c>
      <c r="X76" s="885">
        <v>2.4</v>
      </c>
      <c r="Y76" s="885">
        <v>2.47</v>
      </c>
      <c r="Z76" s="879">
        <v>2.53</v>
      </c>
      <c r="AA76" s="879">
        <v>2.6</v>
      </c>
      <c r="AB76" s="879">
        <v>2.67</v>
      </c>
      <c r="AC76" s="879">
        <v>2.73</v>
      </c>
      <c r="AD76" s="879">
        <v>2.8</v>
      </c>
      <c r="AE76" s="879">
        <v>2.87</v>
      </c>
      <c r="AF76" s="879">
        <v>2.93</v>
      </c>
      <c r="AG76" s="879">
        <v>3</v>
      </c>
      <c r="AH76" s="879">
        <v>3.07</v>
      </c>
      <c r="AI76" s="879">
        <v>3.13</v>
      </c>
      <c r="AJ76" s="895">
        <v>3.2</v>
      </c>
      <c r="AK76" s="879">
        <v>3.27</v>
      </c>
      <c r="AL76" s="879">
        <v>3.33</v>
      </c>
      <c r="AM76" s="879">
        <v>3.4</v>
      </c>
      <c r="AN76" s="862" t="s"/>
      <c r="AO76" s="862" t="s"/>
      <c r="AP76" s="862" t="s"/>
      <c r="AQ76" s="862" t="s"/>
      <c r="AR76" s="862" t="s"/>
      <c r="AS76" s="862" t="s"/>
      <c r="AT76" s="894" t="s"/>
    </row>
    <row r="77" spans="1:46" customHeight="1">
      <c r="A77" s="679" t="s"/>
      <c r="B77" s="680" t="s"/>
      <c r="C77" s="878" t="s">
        <v>395</v>
      </c>
      <c r="D77" s="881">
        <v>13</v>
      </c>
      <c r="E77" s="881">
        <v>14</v>
      </c>
      <c r="F77" s="881">
        <v>15</v>
      </c>
      <c r="G77" s="881">
        <v>16</v>
      </c>
      <c r="H77" s="881">
        <v>17</v>
      </c>
      <c r="I77" s="881">
        <v>18</v>
      </c>
      <c r="J77" s="881">
        <v>19</v>
      </c>
      <c r="K77" s="881">
        <v>20</v>
      </c>
      <c r="L77" s="881">
        <v>21</v>
      </c>
      <c r="M77" s="881">
        <v>22</v>
      </c>
      <c r="N77" s="881">
        <v>23</v>
      </c>
      <c r="O77" s="881">
        <v>24</v>
      </c>
      <c r="P77" s="881">
        <v>25</v>
      </c>
      <c r="Q77" s="881">
        <v>26</v>
      </c>
      <c r="R77" s="881">
        <v>27</v>
      </c>
      <c r="S77" s="881">
        <v>28</v>
      </c>
      <c r="T77" s="881">
        <v>29</v>
      </c>
      <c r="U77" s="881">
        <v>30</v>
      </c>
      <c r="V77" s="881">
        <v>31</v>
      </c>
      <c r="W77" s="881">
        <v>32</v>
      </c>
      <c r="X77" s="881">
        <v>33</v>
      </c>
      <c r="Y77" s="881">
        <v>34</v>
      </c>
      <c r="Z77" s="878">
        <v>35</v>
      </c>
      <c r="AA77" s="881">
        <v>36</v>
      </c>
      <c r="AB77" s="878">
        <v>37</v>
      </c>
      <c r="AC77" s="881">
        <v>38</v>
      </c>
      <c r="AD77" s="878">
        <v>39</v>
      </c>
      <c r="AE77" s="881">
        <v>40</v>
      </c>
      <c r="AF77" s="878">
        <v>41</v>
      </c>
      <c r="AG77" s="881">
        <v>42</v>
      </c>
      <c r="AH77" s="878">
        <v>43</v>
      </c>
      <c r="AI77" s="881">
        <v>44</v>
      </c>
      <c r="AJ77" s="878">
        <v>45</v>
      </c>
      <c r="AK77" s="881">
        <v>46</v>
      </c>
      <c r="AL77" s="878">
        <v>47</v>
      </c>
      <c r="AM77" s="881">
        <v>48</v>
      </c>
      <c r="AN77" s="862" t="s"/>
      <c r="AO77" s="862" t="s"/>
      <c r="AP77" s="862" t="s"/>
      <c r="AQ77" s="862" t="s"/>
      <c r="AR77" s="862" t="s"/>
      <c r="AS77" s="862" t="s"/>
      <c r="AT77" s="877" t="s"/>
    </row>
    <row r="78" spans="1:46" customHeight="1">
      <c r="A78" s="679" t="s"/>
      <c r="B78" s="882" t="s">
        <v>421</v>
      </c>
      <c r="C78" s="878" t="s">
        <v>393</v>
      </c>
      <c r="D78" s="884">
        <v>1</v>
      </c>
      <c r="E78" s="855">
        <f>10/E80</f>
        <v>0.909090909090909</v>
      </c>
      <c r="F78" s="896">
        <f>10/F80</f>
        <v>0.833333333333334</v>
      </c>
      <c r="G78" s="896">
        <f>10/G80</f>
        <v>0.769230769230769</v>
      </c>
      <c r="H78" s="896">
        <f>10/H80</f>
        <v>0.714285714285714</v>
      </c>
      <c r="I78" s="896">
        <f>10/I80</f>
        <v>0.666666666666667</v>
      </c>
      <c r="J78" s="896">
        <f>10/J80</f>
        <v>0.625</v>
      </c>
      <c r="K78" s="896">
        <f>10/K80</f>
        <v>0.588235294117647</v>
      </c>
      <c r="L78" s="896">
        <f>10/L80</f>
        <v>0.555555555555556</v>
      </c>
      <c r="M78" s="896">
        <f>10/M80</f>
        <v>0.526315789473684</v>
      </c>
      <c r="N78" s="896">
        <f>10/N80</f>
        <v>0.5</v>
      </c>
      <c r="O78" s="896">
        <f>10/O80</f>
        <v>0.476190476190476</v>
      </c>
      <c r="P78" s="896">
        <f>10/P80</f>
        <v>0.454545454545455</v>
      </c>
      <c r="Q78" s="896">
        <f>10/Q80</f>
        <v>0.434782608695652</v>
      </c>
      <c r="R78" s="896">
        <f>10/R80</f>
        <v>0.416666666666667</v>
      </c>
      <c r="S78" s="896">
        <f>10/S80</f>
        <v>0.4</v>
      </c>
      <c r="T78" s="896">
        <f>10/T80</f>
        <v>0.384615384615385</v>
      </c>
      <c r="U78" s="896">
        <f>10/U80</f>
        <v>0.37037037037037</v>
      </c>
      <c r="V78" s="896">
        <f>10/V80</f>
        <v>0.357142857142857</v>
      </c>
      <c r="W78" s="896">
        <f>10/W80</f>
        <v>0.344827586206897</v>
      </c>
      <c r="X78" s="896">
        <f>10/X80</f>
        <v>0.333333333333333</v>
      </c>
      <c r="Y78" s="896">
        <f>10/Y80</f>
        <v>0.32258064516129</v>
      </c>
      <c r="Z78" s="863">
        <f>10/Z80</f>
        <v>0.3125</v>
      </c>
      <c r="AA78" s="863">
        <f>10/AA80</f>
        <v>0.303030303030303</v>
      </c>
      <c r="AB78" s="863">
        <f>10/AB80</f>
        <v>0.294117647058824</v>
      </c>
      <c r="AC78" s="863">
        <f>10/AC80</f>
        <v>0.285714285714286</v>
      </c>
      <c r="AD78" s="863">
        <f>10/AD80</f>
        <v>0.277777777777778</v>
      </c>
      <c r="AE78" s="863">
        <f>10/AE80</f>
        <v>0.27027027027027</v>
      </c>
      <c r="AF78" s="863">
        <f>10/AF80</f>
        <v>0.263157894736842</v>
      </c>
      <c r="AG78" s="863">
        <f>10/AG80</f>
        <v>0.256410256410256</v>
      </c>
      <c r="AH78" s="863">
        <f>10/AH80</f>
        <v>0.25</v>
      </c>
      <c r="AI78" s="863">
        <f>10/AI80</f>
        <v>0.24390243902439</v>
      </c>
      <c r="AJ78" s="863">
        <f>10/AJ80</f>
        <v>0.238095238095238</v>
      </c>
      <c r="AK78" s="863">
        <f>10/AK80</f>
        <v>0.232558139534884</v>
      </c>
      <c r="AL78" s="863">
        <f>10/AL80</f>
        <v>0.227272727272727</v>
      </c>
      <c r="AM78" s="863">
        <f>10/AM80</f>
        <v>0.222222222222222</v>
      </c>
      <c r="AN78" s="863">
        <f>10/AN80</f>
        <v>0.217391304347826</v>
      </c>
      <c r="AO78" s="863">
        <f>10/AO80</f>
        <v>0.212765957446809</v>
      </c>
      <c r="AP78" s="863">
        <f>10/AP80</f>
        <v>0.208333333333333</v>
      </c>
      <c r="AQ78" s="863">
        <f>10/AQ80</f>
        <v>0.204081632653061</v>
      </c>
      <c r="AR78" s="863">
        <f>10/AR80</f>
        <v>0.2</v>
      </c>
      <c r="AS78" s="897" t="s"/>
      <c r="AT78" s="897" t="s"/>
    </row>
    <row r="79" spans="1:46" customHeight="1">
      <c r="A79" s="679" t="s"/>
      <c r="B79" s="680" t="s"/>
      <c r="C79" s="878" t="s">
        <v>394</v>
      </c>
      <c r="D79" s="885">
        <v>1</v>
      </c>
      <c r="E79" s="857">
        <f>D79/(D80-1)*(E80-1)</f>
        <v>1.11111111111111</v>
      </c>
      <c r="F79" s="880">
        <f>E79/(E80-1)*(F80-1)</f>
        <v>1.22222222222222</v>
      </c>
      <c r="G79" s="880">
        <f>F79/(F80-1)*(G80-1)</f>
        <v>1.33333333333333</v>
      </c>
      <c r="H79" s="880">
        <f>G79/(G80-1)*(H80-1)</f>
        <v>1.44444444444445</v>
      </c>
      <c r="I79" s="880">
        <f>H79/(H80-1)*(I80-1)</f>
        <v>1.55555555555556</v>
      </c>
      <c r="J79" s="880">
        <f>I79/(I80-1)*(J80-1)</f>
        <v>1.66666666666667</v>
      </c>
      <c r="K79" s="880">
        <f>J79/(J80-1)*(K80-1)</f>
        <v>1.77777777777778</v>
      </c>
      <c r="L79" s="880">
        <f>K79/(K80-1)*(L80-1)</f>
        <v>1.88888888888889</v>
      </c>
      <c r="M79" s="880">
        <f>L79/(L80-1)*(M80-1)</f>
        <v>2</v>
      </c>
      <c r="N79" s="880">
        <f>M79/(M80-1)*(N80-1)</f>
        <v>2.11111111111111</v>
      </c>
      <c r="O79" s="880">
        <f>N79/(N80-1)*(O80-1)</f>
        <v>2.22222222222222</v>
      </c>
      <c r="P79" s="880">
        <f>O79/(O80-1)*(P80-1)</f>
        <v>2.33333333333333</v>
      </c>
      <c r="Q79" s="880">
        <f>P79/(P80-1)*(Q80-1)</f>
        <v>2.44444444444445</v>
      </c>
      <c r="R79" s="880">
        <f>Q79/(Q80-1)*(R80-1)</f>
        <v>2.55555555555556</v>
      </c>
      <c r="S79" s="880">
        <f>R79/(R80-1)*(S80-1)</f>
        <v>2.66666666666667</v>
      </c>
      <c r="T79" s="880">
        <f>S79/(S80-1)*(T80-1)</f>
        <v>2.77777777777778</v>
      </c>
      <c r="U79" s="880">
        <f>T79/(T80-1)*(U80-1)</f>
        <v>2.88888888888889</v>
      </c>
      <c r="V79" s="880">
        <f>U79/(U80-1)*(V80-1)</f>
        <v>3</v>
      </c>
      <c r="W79" s="880">
        <f>V79/(V80-1)*(W80-1)</f>
        <v>3.11111111111111</v>
      </c>
      <c r="X79" s="880">
        <f>W79/(W80-1)*(X80-1)</f>
        <v>3.22222222222222</v>
      </c>
      <c r="Y79" s="880">
        <f>X79/(X80-1)*(Y80-1)</f>
        <v>3.33333333333334</v>
      </c>
      <c r="Z79" s="867">
        <f>Y79/(Y80-1)*(Z80-1)</f>
        <v>3.44444444444445</v>
      </c>
      <c r="AA79" s="867">
        <f>Z79/(Z80-1)*(AA80-1)</f>
        <v>3.55555555555556</v>
      </c>
      <c r="AB79" s="867">
        <f>AA79/(AA80-1)*(AB80-1)</f>
        <v>3.66666666666667</v>
      </c>
      <c r="AC79" s="867">
        <f>AB79/(AB80-1)*(AC80-1)</f>
        <v>3.77777777777778</v>
      </c>
      <c r="AD79" s="867">
        <f>AC79/(AC80-1)*(AD80-1)</f>
        <v>3.88888888888889</v>
      </c>
      <c r="AE79" s="867">
        <f>AD79/(AD80-1)*(AE80-1)</f>
        <v>4</v>
      </c>
      <c r="AF79" s="867">
        <f>AE79/(AE80-1)*(AF80-1)</f>
        <v>4.11111111111111</v>
      </c>
      <c r="AG79" s="867">
        <f>AF79/(AF80-1)*(AG80-1)</f>
        <v>4.22222222222222</v>
      </c>
      <c r="AH79" s="867">
        <f>AG79/(AG80-1)*(AH80-1)</f>
        <v>4.33333333333334</v>
      </c>
      <c r="AI79" s="867">
        <f>AH79/(AH80-1)*(AI80-1)</f>
        <v>4.44444444444445</v>
      </c>
      <c r="AJ79" s="867">
        <f>AI79/(AI80-1)*(AJ80-1)</f>
        <v>4.55555555555556</v>
      </c>
      <c r="AK79" s="867">
        <f>AJ79/(AJ80-1)*(AK80-1)</f>
        <v>4.66666666666667</v>
      </c>
      <c r="AL79" s="867">
        <f>AK79/(AK80-1)*(AL80-1)</f>
        <v>4.77777777777778</v>
      </c>
      <c r="AM79" s="867">
        <f>AL79/(AL80-1)*(AM80-1)</f>
        <v>4.88888888888889</v>
      </c>
      <c r="AN79" s="867">
        <f>AM79/(AM80-1)*(AN80-1)</f>
        <v>5</v>
      </c>
      <c r="AO79" s="867">
        <f>AN79/(AN80-1)*(AO80-1)</f>
        <v>5.11111111111111</v>
      </c>
      <c r="AP79" s="867">
        <f>AO79/(AO80-1)*(AP80-1)</f>
        <v>5.22222222222223</v>
      </c>
      <c r="AQ79" s="867">
        <f>AP79/(AP80-1)*(AQ80-1)</f>
        <v>5.33333333333334</v>
      </c>
      <c r="AR79" s="867">
        <f>AQ79/(AQ80-1)*(AR80-1)</f>
        <v>5.44444444444445</v>
      </c>
      <c r="AS79" s="898" t="s"/>
      <c r="AT79" s="898" t="s"/>
    </row>
    <row r="80" spans="1:46" customHeight="1">
      <c r="A80" s="679" t="s"/>
      <c r="B80" s="680" t="s"/>
      <c r="C80" s="878" t="s">
        <v>395</v>
      </c>
      <c r="D80" s="881">
        <v>10</v>
      </c>
      <c r="E80" s="881">
        <v>11</v>
      </c>
      <c r="F80" s="881">
        <v>12</v>
      </c>
      <c r="G80" s="881">
        <v>13</v>
      </c>
      <c r="H80" s="881">
        <v>14</v>
      </c>
      <c r="I80" s="881">
        <v>15</v>
      </c>
      <c r="J80" s="881">
        <v>16</v>
      </c>
      <c r="K80" s="881">
        <v>17</v>
      </c>
      <c r="L80" s="881">
        <v>18</v>
      </c>
      <c r="M80" s="881">
        <v>19</v>
      </c>
      <c r="N80" s="881">
        <v>20</v>
      </c>
      <c r="O80" s="881">
        <v>21</v>
      </c>
      <c r="P80" s="881">
        <v>22</v>
      </c>
      <c r="Q80" s="881">
        <v>23</v>
      </c>
      <c r="R80" s="881">
        <v>24</v>
      </c>
      <c r="S80" s="881">
        <v>25</v>
      </c>
      <c r="T80" s="881">
        <v>26</v>
      </c>
      <c r="U80" s="881">
        <v>27</v>
      </c>
      <c r="V80" s="881">
        <v>28</v>
      </c>
      <c r="W80" s="881">
        <v>29</v>
      </c>
      <c r="X80" s="881">
        <v>30</v>
      </c>
      <c r="Y80" s="881">
        <v>31</v>
      </c>
      <c r="Z80" s="878">
        <v>32</v>
      </c>
      <c r="AA80" s="881">
        <v>33</v>
      </c>
      <c r="AB80" s="878">
        <v>34</v>
      </c>
      <c r="AC80" s="881">
        <v>35</v>
      </c>
      <c r="AD80" s="878">
        <v>36</v>
      </c>
      <c r="AE80" s="881">
        <v>37</v>
      </c>
      <c r="AF80" s="878">
        <v>38</v>
      </c>
      <c r="AG80" s="881">
        <v>39</v>
      </c>
      <c r="AH80" s="878">
        <v>40</v>
      </c>
      <c r="AI80" s="881">
        <v>41</v>
      </c>
      <c r="AJ80" s="878">
        <v>42</v>
      </c>
      <c r="AK80" s="881">
        <v>43</v>
      </c>
      <c r="AL80" s="878">
        <v>44</v>
      </c>
      <c r="AM80" s="881">
        <v>45</v>
      </c>
      <c r="AN80" s="878">
        <v>46</v>
      </c>
      <c r="AO80" s="881">
        <v>47</v>
      </c>
      <c r="AP80" s="878">
        <v>48</v>
      </c>
      <c r="AQ80" s="881">
        <v>49</v>
      </c>
      <c r="AR80" s="878">
        <v>50</v>
      </c>
      <c r="AS80" s="877" t="s"/>
      <c r="AT80" s="877" t="s"/>
    </row>
    <row r="81" spans="1:46" customHeight="1">
      <c r="A81" s="679" t="s"/>
      <c r="B81" s="882" t="s">
        <v>422</v>
      </c>
      <c r="C81" s="878" t="s">
        <v>393</v>
      </c>
      <c r="D81" s="884">
        <v>1</v>
      </c>
      <c r="E81" s="855">
        <f>10/E83</f>
        <v>0.909090909090909</v>
      </c>
      <c r="F81" s="896">
        <f>10/F83</f>
        <v>0.833333333333334</v>
      </c>
      <c r="G81" s="896">
        <f>10/G83</f>
        <v>0.769230769230769</v>
      </c>
      <c r="H81" s="896">
        <f>10/H83</f>
        <v>0.714285714285714</v>
      </c>
      <c r="I81" s="896">
        <f>10/I83</f>
        <v>0.666666666666667</v>
      </c>
      <c r="J81" s="896">
        <f>10/J83</f>
        <v>0.625</v>
      </c>
      <c r="K81" s="896">
        <f>10/K83</f>
        <v>0.588235294117647</v>
      </c>
      <c r="L81" s="896">
        <f>10/L83</f>
        <v>0.555555555555556</v>
      </c>
      <c r="M81" s="896">
        <f>10/M83</f>
        <v>0.526315789473684</v>
      </c>
      <c r="N81" s="896">
        <f>10/N83</f>
        <v>0.5</v>
      </c>
      <c r="O81" s="896">
        <f>10/O83</f>
        <v>0.476190476190476</v>
      </c>
      <c r="P81" s="896">
        <f>10/P83</f>
        <v>0.454545454545455</v>
      </c>
      <c r="Q81" s="896">
        <f>10/Q83</f>
        <v>0.434782608695652</v>
      </c>
      <c r="R81" s="896">
        <f>10/R83</f>
        <v>0.416666666666667</v>
      </c>
      <c r="S81" s="896">
        <f>10/S83</f>
        <v>0.4</v>
      </c>
      <c r="T81" s="896">
        <f>10/T83</f>
        <v>0.384615384615385</v>
      </c>
      <c r="U81" s="896">
        <f>10/U83</f>
        <v>0.37037037037037</v>
      </c>
      <c r="V81" s="896">
        <f>10/V83</f>
        <v>0.357142857142857</v>
      </c>
      <c r="W81" s="896">
        <f>10/W83</f>
        <v>0.344827586206897</v>
      </c>
      <c r="X81" s="896">
        <f>10/X83</f>
        <v>0.333333333333333</v>
      </c>
      <c r="Y81" s="896">
        <f>10/Y83</f>
        <v>0.32258064516129</v>
      </c>
      <c r="Z81" s="863">
        <f>10/Z83</f>
        <v>0.3125</v>
      </c>
      <c r="AA81" s="863">
        <f>10/AA83</f>
        <v>0.303030303030303</v>
      </c>
      <c r="AB81" s="863">
        <f>10/AB83</f>
        <v>0.294117647058824</v>
      </c>
      <c r="AC81" s="863">
        <f>10/AC83</f>
        <v>0.285714285714286</v>
      </c>
      <c r="AD81" s="863">
        <f>10/AD83</f>
        <v>0.277777777777778</v>
      </c>
      <c r="AE81" s="863">
        <f>10/AE83</f>
        <v>0.27027027027027</v>
      </c>
      <c r="AF81" s="863">
        <f>10/AF83</f>
        <v>0.263157894736842</v>
      </c>
      <c r="AG81" s="863">
        <f>10/AG83</f>
        <v>0.256410256410256</v>
      </c>
      <c r="AH81" s="863">
        <f>10/AH83</f>
        <v>0.25</v>
      </c>
      <c r="AI81" s="863">
        <f>10/AI83</f>
        <v>0.24390243902439</v>
      </c>
      <c r="AJ81" s="863">
        <f>10/AJ83</f>
        <v>0.238095238095238</v>
      </c>
      <c r="AK81" s="863">
        <f>10/AK83</f>
        <v>0.232558139534884</v>
      </c>
      <c r="AL81" s="863">
        <f>10/AL83</f>
        <v>0.227272727272727</v>
      </c>
      <c r="AM81" s="863">
        <f>10/AM83</f>
        <v>0.222222222222222</v>
      </c>
      <c r="AN81" s="863">
        <f>10/AN83</f>
        <v>0.217391304347826</v>
      </c>
      <c r="AO81" s="863">
        <f>10/AO83</f>
        <v>0.212765957446809</v>
      </c>
      <c r="AP81" s="863">
        <f>10/AP83</f>
        <v>0.208333333333333</v>
      </c>
      <c r="AQ81" s="863">
        <f>10/AQ83</f>
        <v>0.204081632653061</v>
      </c>
      <c r="AR81" s="863">
        <f>10/AR83</f>
        <v>0.2</v>
      </c>
      <c r="AS81" s="863">
        <f>10/AS83</f>
        <v>0.196078431372549</v>
      </c>
      <c r="AT81" s="863">
        <f>10/AT83</f>
        <v>0.192307692307692</v>
      </c>
    </row>
    <row r="82" spans="1:46" customHeight="1">
      <c r="A82" s="679" t="s"/>
      <c r="B82" s="680" t="s"/>
      <c r="C82" s="878" t="s">
        <v>394</v>
      </c>
      <c r="D82" s="885">
        <v>1</v>
      </c>
      <c r="E82" s="857">
        <f>D82/(D83-1)*(E83-1)</f>
        <v>1.11111111111111</v>
      </c>
      <c r="F82" s="880">
        <f>E82/(E83-1)*(F83-1)</f>
        <v>1.22222222222222</v>
      </c>
      <c r="G82" s="880">
        <f>F82/(F83-1)*(G83-1)</f>
        <v>1.33333333333333</v>
      </c>
      <c r="H82" s="880">
        <f>G82/(G83-1)*(H83-1)</f>
        <v>1.44444444444445</v>
      </c>
      <c r="I82" s="880">
        <f>H82/(H83-1)*(I83-1)</f>
        <v>1.55555555555556</v>
      </c>
      <c r="J82" s="880">
        <f>I82/(I83-1)*(J83-1)</f>
        <v>1.66666666666667</v>
      </c>
      <c r="K82" s="880">
        <f>J82/(J83-1)*(K83-1)</f>
        <v>1.77777777777778</v>
      </c>
      <c r="L82" s="880">
        <f>K82/(K83-1)*(L83-1)</f>
        <v>1.88888888888889</v>
      </c>
      <c r="M82" s="880">
        <f>L82/(L83-1)*(M83-1)</f>
        <v>2</v>
      </c>
      <c r="N82" s="880">
        <f>M82/(M83-1)*(N83-1)</f>
        <v>2.11111111111111</v>
      </c>
      <c r="O82" s="880">
        <f>N82/(N83-1)*(O83-1)</f>
        <v>2.22222222222222</v>
      </c>
      <c r="P82" s="880">
        <f>O82/(O83-1)*(P83-1)</f>
        <v>2.33333333333333</v>
      </c>
      <c r="Q82" s="880">
        <f>P82/(P83-1)*(Q83-1)</f>
        <v>2.44444444444445</v>
      </c>
      <c r="R82" s="880">
        <f>Q82/(Q83-1)*(R83-1)</f>
        <v>2.55555555555556</v>
      </c>
      <c r="S82" s="880">
        <f>R82/(R83-1)*(S83-1)</f>
        <v>2.66666666666667</v>
      </c>
      <c r="T82" s="880">
        <f>S82/(S83-1)*(T83-1)</f>
        <v>2.77777777777778</v>
      </c>
      <c r="U82" s="880">
        <f>T82/(T83-1)*(U83-1)</f>
        <v>2.88888888888889</v>
      </c>
      <c r="V82" s="880">
        <f>U82/(U83-1)*(V83-1)</f>
        <v>3</v>
      </c>
      <c r="W82" s="880">
        <f>V82/(V83-1)*(W83-1)</f>
        <v>3.11111111111111</v>
      </c>
      <c r="X82" s="880">
        <f>W82/(W83-1)*(X83-1)</f>
        <v>3.22222222222222</v>
      </c>
      <c r="Y82" s="880">
        <f>X82/(X83-1)*(Y83-1)</f>
        <v>3.33333333333334</v>
      </c>
      <c r="Z82" s="867">
        <f>Y82/(Y83-1)*(Z83-1)</f>
        <v>3.44444444444445</v>
      </c>
      <c r="AA82" s="867">
        <f>Z82/(Z83-1)*(AA83-1)</f>
        <v>3.55555555555556</v>
      </c>
      <c r="AB82" s="867">
        <f>AA82/(AA83-1)*(AB83-1)</f>
        <v>3.66666666666667</v>
      </c>
      <c r="AC82" s="867">
        <f>AB82/(AB83-1)*(AC83-1)</f>
        <v>3.77777777777778</v>
      </c>
      <c r="AD82" s="867">
        <f>AC82/(AC83-1)*(AD83-1)</f>
        <v>3.88888888888889</v>
      </c>
      <c r="AE82" s="867">
        <f>AD82/(AD83-1)*(AE83-1)</f>
        <v>4</v>
      </c>
      <c r="AF82" s="867">
        <f>AE82/(AE83-1)*(AF83-1)</f>
        <v>4.11111111111111</v>
      </c>
      <c r="AG82" s="867">
        <f>AF82/(AF83-1)*(AG83-1)</f>
        <v>4.22222222222222</v>
      </c>
      <c r="AH82" s="867">
        <f>AG82/(AG83-1)*(AH83-1)</f>
        <v>4.33333333333334</v>
      </c>
      <c r="AI82" s="867">
        <f>AH82/(AH83-1)*(AI83-1)</f>
        <v>4.44444444444445</v>
      </c>
      <c r="AJ82" s="867">
        <f>AI82/(AI83-1)*(AJ83-1)</f>
        <v>4.55555555555556</v>
      </c>
      <c r="AK82" s="867">
        <f>AJ82/(AJ83-1)*(AK83-1)</f>
        <v>4.66666666666667</v>
      </c>
      <c r="AL82" s="867">
        <f>AK82/(AK83-1)*(AL83-1)</f>
        <v>4.77777777777778</v>
      </c>
      <c r="AM82" s="867">
        <f>AL82/(AL83-1)*(AM83-1)</f>
        <v>4.88888888888889</v>
      </c>
      <c r="AN82" s="867">
        <f>AM82/(AM83-1)*(AN83-1)</f>
        <v>5</v>
      </c>
      <c r="AO82" s="867">
        <f>AN82/(AN83-1)*(AO83-1)</f>
        <v>5.11111111111111</v>
      </c>
      <c r="AP82" s="867">
        <f>AO82/(AO83-1)*(AP83-1)</f>
        <v>5.22222222222223</v>
      </c>
      <c r="AQ82" s="867">
        <f>AP82/(AP83-1)*(AQ83-1)</f>
        <v>5.33333333333334</v>
      </c>
      <c r="AR82" s="867">
        <f>AQ82/(AQ83-1)*(AR83-1)</f>
        <v>5.44444444444445</v>
      </c>
      <c r="AS82" s="867">
        <f>AR82/(AR83-1)*(AS83-1)</f>
        <v>5.55555555555556</v>
      </c>
      <c r="AT82" s="867">
        <f>AS82/(AS83-1)*(AT83-1)</f>
        <v>5.66666666666667</v>
      </c>
    </row>
    <row r="83" spans="1:46" customHeight="1">
      <c r="A83" s="679" t="s"/>
      <c r="B83" s="680" t="s"/>
      <c r="C83" s="878" t="s">
        <v>395</v>
      </c>
      <c r="D83" s="881">
        <v>10</v>
      </c>
      <c r="E83" s="881">
        <v>11</v>
      </c>
      <c r="F83" s="881">
        <v>12</v>
      </c>
      <c r="G83" s="881">
        <v>13</v>
      </c>
      <c r="H83" s="881">
        <v>14</v>
      </c>
      <c r="I83" s="881">
        <v>15</v>
      </c>
      <c r="J83" s="881">
        <v>16</v>
      </c>
      <c r="K83" s="881">
        <v>17</v>
      </c>
      <c r="L83" s="881">
        <v>18</v>
      </c>
      <c r="M83" s="881">
        <v>19</v>
      </c>
      <c r="N83" s="881">
        <v>20</v>
      </c>
      <c r="O83" s="881">
        <v>21</v>
      </c>
      <c r="P83" s="881">
        <v>22</v>
      </c>
      <c r="Q83" s="881">
        <v>23</v>
      </c>
      <c r="R83" s="881">
        <v>24</v>
      </c>
      <c r="S83" s="881">
        <v>25</v>
      </c>
      <c r="T83" s="881">
        <v>26</v>
      </c>
      <c r="U83" s="881">
        <v>27</v>
      </c>
      <c r="V83" s="881">
        <v>28</v>
      </c>
      <c r="W83" s="881">
        <v>29</v>
      </c>
      <c r="X83" s="881">
        <v>30</v>
      </c>
      <c r="Y83" s="881">
        <v>31</v>
      </c>
      <c r="Z83" s="878">
        <v>32</v>
      </c>
      <c r="AA83" s="878">
        <v>33</v>
      </c>
      <c r="AB83" s="878">
        <v>34</v>
      </c>
      <c r="AC83" s="878">
        <v>35</v>
      </c>
      <c r="AD83" s="878">
        <v>36</v>
      </c>
      <c r="AE83" s="878">
        <v>37</v>
      </c>
      <c r="AF83" s="878">
        <v>38</v>
      </c>
      <c r="AG83" s="878">
        <v>39</v>
      </c>
      <c r="AH83" s="878">
        <v>40</v>
      </c>
      <c r="AI83" s="878">
        <v>41</v>
      </c>
      <c r="AJ83" s="878">
        <v>42</v>
      </c>
      <c r="AK83" s="878">
        <v>43</v>
      </c>
      <c r="AL83" s="878">
        <v>44</v>
      </c>
      <c r="AM83" s="878">
        <v>45</v>
      </c>
      <c r="AN83" s="878">
        <v>46</v>
      </c>
      <c r="AO83" s="878">
        <v>47</v>
      </c>
      <c r="AP83" s="878">
        <v>48</v>
      </c>
      <c r="AQ83" s="878">
        <v>49</v>
      </c>
      <c r="AR83" s="878">
        <v>50</v>
      </c>
      <c r="AS83" s="878">
        <v>51</v>
      </c>
      <c r="AT83" s="878">
        <v>52</v>
      </c>
    </row>
    <row r="84" spans="1:46" customHeight="1">
      <c r="A84" s="679" t="s"/>
      <c r="B84" s="882" t="s">
        <v>423</v>
      </c>
      <c r="C84" s="878" t="s">
        <v>393</v>
      </c>
      <c r="D84" s="884">
        <v>1</v>
      </c>
      <c r="E84" s="861">
        <f>7/E86</f>
        <v>0.875</v>
      </c>
      <c r="F84" s="863">
        <f>7/F86</f>
        <v>0.777777777777778</v>
      </c>
      <c r="G84" s="863">
        <f>7/G86</f>
        <v>0.7</v>
      </c>
      <c r="H84" s="863">
        <f>7/H86</f>
        <v>0.636363636363637</v>
      </c>
      <c r="I84" s="863">
        <f>7/I86</f>
        <v>0.583333333333334</v>
      </c>
      <c r="J84" s="863">
        <f>7/J86</f>
        <v>0.538461538461539</v>
      </c>
      <c r="K84" s="863">
        <f>7/K86</f>
        <v>0.5</v>
      </c>
      <c r="L84" s="863">
        <f>7/L86</f>
        <v>0.466666666666667</v>
      </c>
      <c r="M84" s="863">
        <f>7/M86</f>
        <v>0.4375</v>
      </c>
      <c r="N84" s="863">
        <f>7/N86</f>
        <v>0.411764705882353</v>
      </c>
      <c r="O84" s="863">
        <f>7/O86</f>
        <v>0.388888888888889</v>
      </c>
      <c r="P84" s="863">
        <f>7/P86</f>
        <v>0.368421052631579</v>
      </c>
      <c r="Q84" s="863">
        <f>7/Q86</f>
        <v>0.35</v>
      </c>
      <c r="R84" s="863">
        <f>7/R86</f>
        <v>0.333333333333333</v>
      </c>
      <c r="S84" s="863">
        <f>7/S86</f>
        <v>0.318181818181818</v>
      </c>
      <c r="T84" s="863">
        <f>7/T86</f>
        <v>0.304347826086957</v>
      </c>
      <c r="U84" s="863">
        <f>7/U86</f>
        <v>0.291666666666667</v>
      </c>
      <c r="V84" s="863">
        <f>7/V86</f>
        <v>0.28</v>
      </c>
      <c r="W84" s="863">
        <f>7/W86</f>
        <v>0.269230769230769</v>
      </c>
      <c r="X84" s="863">
        <f>7/X86</f>
        <v>0.259259259259259</v>
      </c>
      <c r="Y84" s="863">
        <f>7/Y86</f>
        <v>0.25</v>
      </c>
      <c r="Z84" s="863">
        <f>7/Z86</f>
        <v>0.241379310344828</v>
      </c>
      <c r="AA84" s="863">
        <f>7/AA86</f>
        <v>0.233333333333333</v>
      </c>
      <c r="AB84" s="863">
        <f>7/AB86</f>
        <v>0.225806451612903</v>
      </c>
      <c r="AC84" s="863">
        <f>7/AC86</f>
        <v>0.21875</v>
      </c>
      <c r="AD84" s="863">
        <f>7/AD86</f>
        <v>0.212121212121212</v>
      </c>
      <c r="AE84" s="863">
        <f>7/AE86</f>
        <v>0.205882352941177</v>
      </c>
      <c r="AF84" s="863">
        <f>7/AF86</f>
        <v>0.2</v>
      </c>
      <c r="AG84" s="863">
        <f>7/AG86</f>
        <v>0.194444444444444</v>
      </c>
      <c r="AH84" s="863">
        <f>7/AH86</f>
        <v>0.189189189189189</v>
      </c>
      <c r="AI84" s="863">
        <f>7/AI86</f>
        <v>0.18421052631579</v>
      </c>
      <c r="AJ84" s="863">
        <f>7/AJ86</f>
        <v>0.17948717948718</v>
      </c>
      <c r="AK84" s="863">
        <f>7/AK86</f>
        <v>0.175</v>
      </c>
      <c r="AL84" s="893" t="s"/>
      <c r="AM84" s="893" t="s"/>
      <c r="AN84" s="893" t="s"/>
      <c r="AO84" s="893" t="s"/>
      <c r="AP84" s="893" t="s"/>
      <c r="AQ84" s="893" t="s"/>
      <c r="AR84" s="893" t="s"/>
      <c r="AS84" s="893" t="s"/>
      <c r="AT84" s="893" t="s"/>
    </row>
    <row r="85" spans="1:46" customHeight="1">
      <c r="A85" s="679" t="s"/>
      <c r="B85" s="680" t="s"/>
      <c r="C85" s="878" t="s">
        <v>394</v>
      </c>
      <c r="D85" s="885">
        <v>1.2</v>
      </c>
      <c r="E85" s="857">
        <f>D85/(D86-1)*(E86-1)</f>
        <v>1.4</v>
      </c>
      <c r="F85" s="880">
        <f>E85/(E86-1)*(F86-1)</f>
        <v>1.6</v>
      </c>
      <c r="G85" s="880">
        <f>F85/(F86-1)*(G86-1)</f>
        <v>1.8</v>
      </c>
      <c r="H85" s="880">
        <f>G85/(G86-1)*(H86-1)</f>
        <v>2</v>
      </c>
      <c r="I85" s="880">
        <f>H85/(H86-1)*(I86-1)</f>
        <v>2.2</v>
      </c>
      <c r="J85" s="880">
        <f>I85/(I86-1)*(J86-1)</f>
        <v>2.4</v>
      </c>
      <c r="K85" s="880">
        <f>J85/(J86-1)*(K86-1)</f>
        <v>2.6</v>
      </c>
      <c r="L85" s="880">
        <f>K85/(K86-1)*(L86-1)</f>
        <v>2.8</v>
      </c>
      <c r="M85" s="880">
        <f>L85/(L86-1)*(M86-1)</f>
        <v>3</v>
      </c>
      <c r="N85" s="880">
        <f>M85/(M86-1)*(N86-1)</f>
        <v>3.2</v>
      </c>
      <c r="O85" s="880">
        <f>N85/(N86-1)*(O86-1)</f>
        <v>3.4</v>
      </c>
      <c r="P85" s="880">
        <f>O85/(O86-1)*(P86-1)</f>
        <v>3.6</v>
      </c>
      <c r="Q85" s="880">
        <f>P85/(P86-1)*(Q86-1)</f>
        <v>3.8</v>
      </c>
      <c r="R85" s="880">
        <f>Q85/(Q86-1)*(R86-1)</f>
        <v>4</v>
      </c>
      <c r="S85" s="880">
        <f>R85/(R86-1)*(S86-1)</f>
        <v>4.2</v>
      </c>
      <c r="T85" s="880">
        <f>S85/(S86-1)*(T86-1)</f>
        <v>4.4</v>
      </c>
      <c r="U85" s="880">
        <f>T85/(T86-1)*(U86-1)</f>
        <v>4.6</v>
      </c>
      <c r="V85" s="880">
        <f>U85/(U86-1)*(V86-1)</f>
        <v>4.8</v>
      </c>
      <c r="W85" s="880">
        <f>V85/(V86-1)*(W86-1)</f>
        <v>5</v>
      </c>
      <c r="X85" s="880">
        <f>W85/(W86-1)*(X86-1)</f>
        <v>5.2</v>
      </c>
      <c r="Y85" s="880">
        <f>X85/(X86-1)*(Y86-1)</f>
        <v>5.4</v>
      </c>
      <c r="Z85" s="867">
        <f>Y85/(Y86-1)*(Z86-1)</f>
        <v>5.6</v>
      </c>
      <c r="AA85" s="867">
        <f>Z85/(Z86-1)*(AA86-1)</f>
        <v>5.8</v>
      </c>
      <c r="AB85" s="867">
        <f>AA85/(AA86-1)*(AB86-1)</f>
        <v>6</v>
      </c>
      <c r="AC85" s="867">
        <f>AB85/(AB86-1)*(AC86-1)</f>
        <v>6.2</v>
      </c>
      <c r="AD85" s="867">
        <f>AC85/(AC86-1)*(AD86-1)</f>
        <v>6.4</v>
      </c>
      <c r="AE85" s="867">
        <f>AD85/(AD86-1)*(AE86-1)</f>
        <v>6.6</v>
      </c>
      <c r="AF85" s="867">
        <f>AE85/(AE86-1)*(AF86-1)</f>
        <v>6.8</v>
      </c>
      <c r="AG85" s="867">
        <f>AF85/(AF86-1)*(AG86-1)</f>
        <v>7</v>
      </c>
      <c r="AH85" s="867">
        <f>AG85/(AG86-1)*(AH86-1)</f>
        <v>7.2</v>
      </c>
      <c r="AI85" s="867">
        <f>AH85/(AH86-1)*(AI86-1)</f>
        <v>7.4</v>
      </c>
      <c r="AJ85" s="867">
        <f>AI85/(AI86-1)*(AJ86-1)</f>
        <v>7.6</v>
      </c>
      <c r="AK85" s="867">
        <f>AJ85/(AJ86-1)*(AK86-1)</f>
        <v>7.8</v>
      </c>
      <c r="AL85" s="862" t="s"/>
      <c r="AM85" s="862" t="s"/>
      <c r="AN85" s="862" t="s"/>
      <c r="AO85" s="862" t="s"/>
      <c r="AP85" s="862" t="s"/>
      <c r="AQ85" s="862" t="s"/>
      <c r="AR85" s="862" t="s"/>
      <c r="AS85" s="862" t="s"/>
      <c r="AT85" s="862" t="s"/>
    </row>
    <row r="86" spans="1:46" customHeight="1">
      <c r="A86" s="679" t="s"/>
      <c r="B86" s="680" t="s"/>
      <c r="C86" s="878" t="s">
        <v>395</v>
      </c>
      <c r="D86" s="881">
        <v>7</v>
      </c>
      <c r="E86" s="881">
        <v>8</v>
      </c>
      <c r="F86" s="881">
        <v>9</v>
      </c>
      <c r="G86" s="881">
        <v>10</v>
      </c>
      <c r="H86" s="881">
        <v>11</v>
      </c>
      <c r="I86" s="881">
        <v>12</v>
      </c>
      <c r="J86" s="881">
        <v>13</v>
      </c>
      <c r="K86" s="881">
        <v>14</v>
      </c>
      <c r="L86" s="881">
        <v>15</v>
      </c>
      <c r="M86" s="881">
        <v>16</v>
      </c>
      <c r="N86" s="881">
        <v>17</v>
      </c>
      <c r="O86" s="881">
        <v>18</v>
      </c>
      <c r="P86" s="881">
        <v>19</v>
      </c>
      <c r="Q86" s="881">
        <v>20</v>
      </c>
      <c r="R86" s="881">
        <v>21</v>
      </c>
      <c r="S86" s="881">
        <v>22</v>
      </c>
      <c r="T86" s="881">
        <v>23</v>
      </c>
      <c r="U86" s="881">
        <v>24</v>
      </c>
      <c r="V86" s="881">
        <v>25</v>
      </c>
      <c r="W86" s="881">
        <v>26</v>
      </c>
      <c r="X86" s="881">
        <v>27</v>
      </c>
      <c r="Y86" s="881">
        <v>28</v>
      </c>
      <c r="Z86" s="878">
        <v>29</v>
      </c>
      <c r="AA86" s="881">
        <v>30</v>
      </c>
      <c r="AB86" s="878">
        <v>31</v>
      </c>
      <c r="AC86" s="881">
        <v>32</v>
      </c>
      <c r="AD86" s="878">
        <v>33</v>
      </c>
      <c r="AE86" s="881">
        <v>34</v>
      </c>
      <c r="AF86" s="878">
        <v>35</v>
      </c>
      <c r="AG86" s="881">
        <v>36</v>
      </c>
      <c r="AH86" s="878">
        <v>37</v>
      </c>
      <c r="AI86" s="881">
        <v>38</v>
      </c>
      <c r="AJ86" s="878">
        <v>39</v>
      </c>
      <c r="AK86" s="881">
        <v>40</v>
      </c>
      <c r="AL86" s="862" t="s"/>
      <c r="AM86" s="862" t="s"/>
      <c r="AN86" s="862" t="s"/>
      <c r="AO86" s="862" t="s"/>
      <c r="AP86" s="862" t="s"/>
      <c r="AQ86" s="862" t="s"/>
      <c r="AR86" s="862" t="s"/>
      <c r="AS86" s="862" t="s"/>
      <c r="AT86" s="862" t="s"/>
    </row>
    <row r="87" spans="1:46" customHeight="1">
      <c r="A87" s="679" t="s"/>
      <c r="B87" s="882" t="s">
        <v>424</v>
      </c>
      <c r="C87" s="878" t="s">
        <v>393</v>
      </c>
      <c r="D87" s="883">
        <v>1</v>
      </c>
      <c r="E87" s="861">
        <f>7/E89</f>
        <v>0.875</v>
      </c>
      <c r="F87" s="863">
        <f>7/F89</f>
        <v>0.777777777777778</v>
      </c>
      <c r="G87" s="863">
        <f>7/G89</f>
        <v>0.7</v>
      </c>
      <c r="H87" s="863">
        <f>7/H89</f>
        <v>0.636363636363637</v>
      </c>
      <c r="I87" s="863">
        <f>7/I89</f>
        <v>0.583333333333334</v>
      </c>
      <c r="J87" s="863">
        <f>7/J89</f>
        <v>0.538461538461539</v>
      </c>
      <c r="K87" s="863">
        <f>7/K89</f>
        <v>0.5</v>
      </c>
      <c r="L87" s="863">
        <f>7/L89</f>
        <v>0.466666666666667</v>
      </c>
      <c r="M87" s="863">
        <f>7/M89</f>
        <v>0.4375</v>
      </c>
      <c r="N87" s="863">
        <f>7/N89</f>
        <v>0.411764705882353</v>
      </c>
      <c r="O87" s="863">
        <f>7/O89</f>
        <v>0.388888888888889</v>
      </c>
      <c r="P87" s="863">
        <f>7/P89</f>
        <v>0.368421052631579</v>
      </c>
      <c r="Q87" s="863">
        <f>7/Q89</f>
        <v>0.35</v>
      </c>
      <c r="R87" s="863">
        <f>7/R89</f>
        <v>0.333333333333333</v>
      </c>
      <c r="S87" s="863">
        <f>7/S89</f>
        <v>0.318181818181818</v>
      </c>
      <c r="T87" s="863">
        <f>7/T89</f>
        <v>0.304347826086957</v>
      </c>
      <c r="U87" s="863">
        <f>7/U89</f>
        <v>0.291666666666667</v>
      </c>
      <c r="V87" s="863">
        <f>7/V89</f>
        <v>0.28</v>
      </c>
      <c r="W87" s="863">
        <f>7/W89</f>
        <v>0.269230769230769</v>
      </c>
      <c r="X87" s="863">
        <f>7/X89</f>
        <v>0.259259259259259</v>
      </c>
      <c r="Y87" s="863">
        <f>7/Y89</f>
        <v>0.25</v>
      </c>
      <c r="Z87" s="863">
        <f>7/Z89</f>
        <v>0.241379310344828</v>
      </c>
      <c r="AA87" s="863">
        <f>7/AA89</f>
        <v>0.233333333333333</v>
      </c>
      <c r="AB87" s="863">
        <f>7/AB89</f>
        <v>0.225806451612903</v>
      </c>
      <c r="AC87" s="863">
        <f>7/AC89</f>
        <v>0.21875</v>
      </c>
      <c r="AD87" s="863">
        <f>7/AD89</f>
        <v>0.212121212121212</v>
      </c>
      <c r="AE87" s="863">
        <f>7/AE89</f>
        <v>0.205882352941177</v>
      </c>
      <c r="AF87" s="863">
        <f>7/AF89</f>
        <v>0.2</v>
      </c>
      <c r="AG87" s="863">
        <f>7/AG89</f>
        <v>0.194444444444444</v>
      </c>
      <c r="AH87" s="863">
        <f>7/AH89</f>
        <v>0.189189189189189</v>
      </c>
      <c r="AI87" s="863">
        <f>7/AI89</f>
        <v>0.18421052631579</v>
      </c>
      <c r="AJ87" s="863">
        <f>7/AJ89</f>
        <v>0.17948717948718</v>
      </c>
      <c r="AK87" s="863">
        <f>7/AK89</f>
        <v>0.175</v>
      </c>
      <c r="AL87" s="862" t="s"/>
      <c r="AM87" s="862" t="s"/>
      <c r="AN87" s="862" t="s"/>
      <c r="AO87" s="862" t="s"/>
      <c r="AP87" s="862" t="s"/>
      <c r="AQ87" s="862" t="s"/>
      <c r="AR87" s="862" t="s"/>
      <c r="AS87" s="862" t="s"/>
      <c r="AT87" s="862" t="s"/>
    </row>
    <row r="88" spans="1:46" customHeight="1">
      <c r="A88" s="679" t="s"/>
      <c r="B88" s="680" t="s"/>
      <c r="C88" s="878" t="s">
        <v>394</v>
      </c>
      <c r="D88" s="879">
        <v>0.92</v>
      </c>
      <c r="E88" s="852">
        <f>D88/(D89-1)*(E89-1)</f>
        <v>1.07333333333333</v>
      </c>
      <c r="F88" s="852">
        <f>E88/(E89-1)*(F89-1)</f>
        <v>1.22666666666667</v>
      </c>
      <c r="G88" s="852">
        <f>F88/(F89-1)*(G89-1)</f>
        <v>1.38</v>
      </c>
      <c r="H88" s="852">
        <f>G88/(G89-1)*(H89-1)</f>
        <v>1.53333333333333</v>
      </c>
      <c r="I88" s="852">
        <f>H88/(H89-1)*(I89-1)</f>
        <v>1.68666666666667</v>
      </c>
      <c r="J88" s="852">
        <f>I88/(I89-1)*(J89-1)</f>
        <v>1.84</v>
      </c>
      <c r="K88" s="852">
        <f>J88/(J89-1)*(K89-1)</f>
        <v>1.99333333333333</v>
      </c>
      <c r="L88" s="852">
        <f>K88/(K89-1)*(L89-1)</f>
        <v>2.14666666666667</v>
      </c>
      <c r="M88" s="852">
        <f>L88/(L89-1)*(M89-1)</f>
        <v>2.3</v>
      </c>
      <c r="N88" s="852">
        <f>M88/(M89-1)*(N89-1)</f>
        <v>2.45333333333333</v>
      </c>
      <c r="O88" s="852">
        <f>N88/(N89-1)*(O89-1)</f>
        <v>2.60666666666667</v>
      </c>
      <c r="P88" s="852">
        <f>O88/(O89-1)*(P89-1)</f>
        <v>2.76</v>
      </c>
      <c r="Q88" s="852">
        <f>P88/(P89-1)*(Q89-1)</f>
        <v>2.91333333333333</v>
      </c>
      <c r="R88" s="852">
        <f>Q88/(Q89-1)*(R89-1)</f>
        <v>3.06666666666667</v>
      </c>
      <c r="S88" s="852">
        <f>R88/(R89-1)*(S89-1)</f>
        <v>3.22</v>
      </c>
      <c r="T88" s="852">
        <f>S88/(S89-1)*(T89-1)</f>
        <v>3.37333333333333</v>
      </c>
      <c r="U88" s="852">
        <f>T88/(T89-1)*(U89-1)</f>
        <v>3.52666666666667</v>
      </c>
      <c r="V88" s="852">
        <f>U88/(U89-1)*(V89-1)</f>
        <v>3.68</v>
      </c>
      <c r="W88" s="852">
        <f>V88/(V89-1)*(W89-1)</f>
        <v>3.83333333333333</v>
      </c>
      <c r="X88" s="852">
        <f>W88/(W89-1)*(X89-1)</f>
        <v>3.98666666666667</v>
      </c>
      <c r="Y88" s="852">
        <f>X88/(X89-1)*(Y89-1)</f>
        <v>4.14</v>
      </c>
      <c r="Z88" s="852">
        <f>Y88/(Y89-1)*(Z89-1)</f>
        <v>4.29333333333334</v>
      </c>
      <c r="AA88" s="852">
        <f>Z88/(Z89-1)*(AA89-1)</f>
        <v>4.44666666666667</v>
      </c>
      <c r="AB88" s="852">
        <f>AA88/(AA89-1)*(AB89-1)</f>
        <v>4.6</v>
      </c>
      <c r="AC88" s="852">
        <f>AB88/(AB89-1)*(AC89-1)</f>
        <v>4.75333333333334</v>
      </c>
      <c r="AD88" s="852">
        <f>AC88/(AC89-1)*(AD89-1)</f>
        <v>4.90666666666667</v>
      </c>
      <c r="AE88" s="852">
        <f>AD88/(AD89-1)*(AE89-1)</f>
        <v>5.06</v>
      </c>
      <c r="AF88" s="852">
        <f>AE88/(AE89-1)*(AF89-1)</f>
        <v>5.21333333333334</v>
      </c>
      <c r="AG88" s="852">
        <f>AF88/(AF89-1)*(AG89-1)</f>
        <v>5.36666666666667</v>
      </c>
      <c r="AH88" s="852">
        <f>AG88/(AG89-1)*(AH89-1)</f>
        <v>5.52</v>
      </c>
      <c r="AI88" s="852">
        <f>AH88/(AH89-1)*(AI89-1)</f>
        <v>5.67333333333334</v>
      </c>
      <c r="AJ88" s="852">
        <f>AI88/(AI89-1)*(AJ89-1)</f>
        <v>5.82666666666667</v>
      </c>
      <c r="AK88" s="852">
        <f>AJ88/(AJ89-1)*(AK89-1)</f>
        <v>5.98</v>
      </c>
      <c r="AL88" s="899" t="s"/>
      <c r="AM88" s="899" t="s"/>
      <c r="AN88" s="899" t="s"/>
      <c r="AO88" s="899" t="s"/>
      <c r="AP88" s="899" t="s"/>
      <c r="AQ88" s="899" t="s"/>
      <c r="AR88" s="899" t="s"/>
      <c r="AS88" s="899" t="s"/>
      <c r="AT88" s="899" t="s"/>
    </row>
    <row r="89" spans="1:46" customHeight="1">
      <c r="A89" s="679" t="s"/>
      <c r="B89" s="680" t="s"/>
      <c r="C89" s="878" t="s">
        <v>395</v>
      </c>
      <c r="D89" s="878">
        <v>7</v>
      </c>
      <c r="E89" s="878">
        <v>8</v>
      </c>
      <c r="F89" s="878">
        <v>9</v>
      </c>
      <c r="G89" s="878">
        <v>10</v>
      </c>
      <c r="H89" s="878">
        <v>11</v>
      </c>
      <c r="I89" s="878">
        <v>12</v>
      </c>
      <c r="J89" s="878">
        <v>13</v>
      </c>
      <c r="K89" s="878">
        <v>14</v>
      </c>
      <c r="L89" s="878">
        <v>15</v>
      </c>
      <c r="M89" s="878">
        <v>16</v>
      </c>
      <c r="N89" s="878">
        <v>17</v>
      </c>
      <c r="O89" s="878">
        <v>18</v>
      </c>
      <c r="P89" s="878">
        <v>19</v>
      </c>
      <c r="Q89" s="878">
        <v>20</v>
      </c>
      <c r="R89" s="878">
        <v>21</v>
      </c>
      <c r="S89" s="878">
        <v>22</v>
      </c>
      <c r="T89" s="878">
        <v>23</v>
      </c>
      <c r="U89" s="878">
        <v>24</v>
      </c>
      <c r="V89" s="878">
        <v>25</v>
      </c>
      <c r="W89" s="878">
        <v>26</v>
      </c>
      <c r="X89" s="878">
        <v>27</v>
      </c>
      <c r="Y89" s="878">
        <v>28</v>
      </c>
      <c r="Z89" s="878">
        <v>29</v>
      </c>
      <c r="AA89" s="878">
        <v>30</v>
      </c>
      <c r="AB89" s="878">
        <v>31</v>
      </c>
      <c r="AC89" s="878">
        <v>32</v>
      </c>
      <c r="AD89" s="878">
        <v>33</v>
      </c>
      <c r="AE89" s="878">
        <v>34</v>
      </c>
      <c r="AF89" s="878">
        <v>35</v>
      </c>
      <c r="AG89" s="878">
        <v>36</v>
      </c>
      <c r="AH89" s="878">
        <v>37</v>
      </c>
      <c r="AI89" s="878">
        <v>38</v>
      </c>
      <c r="AJ89" s="878">
        <v>39</v>
      </c>
      <c r="AK89" s="878">
        <v>40</v>
      </c>
      <c r="AL89" s="877" t="s"/>
      <c r="AM89" s="877" t="s"/>
      <c r="AN89" s="877" t="s"/>
      <c r="AO89" s="877" t="s"/>
      <c r="AP89" s="877" t="s"/>
      <c r="AQ89" s="877" t="s"/>
      <c r="AR89" s="877" t="s"/>
      <c r="AS89" s="877" t="s"/>
      <c r="AT89" s="877" t="s"/>
    </row>
    <row r="90" spans="1:46" customHeight="1">
      <c r="A90" s="679" t="s"/>
      <c r="B90" s="882" t="s">
        <v>425</v>
      </c>
      <c r="C90" s="878" t="s">
        <v>393</v>
      </c>
      <c r="D90" s="883">
        <v>1</v>
      </c>
      <c r="E90" s="883">
        <v>0.9167</v>
      </c>
      <c r="F90" s="883">
        <v>0.8462</v>
      </c>
      <c r="G90" s="883">
        <v>0.7857</v>
      </c>
      <c r="H90" s="883">
        <v>0.7333</v>
      </c>
      <c r="I90" s="883">
        <v>0.6875</v>
      </c>
      <c r="J90" s="883">
        <v>0.6471</v>
      </c>
      <c r="K90" s="883">
        <v>0.6111</v>
      </c>
      <c r="L90" s="883">
        <v>0.5789</v>
      </c>
      <c r="M90" s="883">
        <v>0.55</v>
      </c>
      <c r="N90" s="883">
        <v>0.5238</v>
      </c>
      <c r="O90" s="883">
        <v>0.5</v>
      </c>
      <c r="P90" s="883">
        <v>0.4783</v>
      </c>
      <c r="Q90" s="883">
        <v>0.4583</v>
      </c>
      <c r="R90" s="883">
        <v>0.44</v>
      </c>
      <c r="S90" s="883">
        <v>0.4231</v>
      </c>
      <c r="T90" s="883">
        <v>0.4074</v>
      </c>
      <c r="U90" s="883">
        <v>0.3929</v>
      </c>
      <c r="V90" s="877" t="s"/>
      <c r="W90" s="877" t="s"/>
      <c r="X90" s="877" t="s"/>
      <c r="Y90" s="877" t="s"/>
      <c r="Z90" s="877" t="s"/>
      <c r="AA90" s="877" t="s"/>
      <c r="AB90" s="877" t="s"/>
      <c r="AC90" s="877" t="s"/>
      <c r="AD90" s="877" t="s"/>
      <c r="AE90" s="877" t="s"/>
      <c r="AF90" s="877" t="s"/>
      <c r="AG90" s="877" t="s"/>
      <c r="AH90" s="877" t="s"/>
      <c r="AI90" s="877" t="s"/>
      <c r="AJ90" s="877" t="s"/>
      <c r="AK90" s="877" t="s"/>
      <c r="AL90" s="877" t="s"/>
      <c r="AM90" s="877" t="s"/>
      <c r="AN90" s="877" t="s"/>
      <c r="AO90" s="877" t="s"/>
      <c r="AP90" s="877" t="s"/>
      <c r="AQ90" s="877" t="s"/>
      <c r="AR90" s="877" t="s"/>
      <c r="AS90" s="877" t="s"/>
      <c r="AT90" s="877" t="s"/>
    </row>
    <row r="91" spans="1:46" customHeight="1">
      <c r="A91" s="679" t="s"/>
      <c r="B91" s="680" t="s"/>
      <c r="C91" s="878" t="s">
        <v>394</v>
      </c>
      <c r="D91" s="879">
        <v>1</v>
      </c>
      <c r="E91" s="879">
        <v>1.1</v>
      </c>
      <c r="F91" s="879">
        <v>1.2</v>
      </c>
      <c r="G91" s="879">
        <v>1.3</v>
      </c>
      <c r="H91" s="879">
        <v>1.4</v>
      </c>
      <c r="I91" s="879">
        <v>1.5</v>
      </c>
      <c r="J91" s="879">
        <v>1.6</v>
      </c>
      <c r="K91" s="879">
        <v>1.7</v>
      </c>
      <c r="L91" s="879">
        <v>1.8</v>
      </c>
      <c r="M91" s="879">
        <v>1.9</v>
      </c>
      <c r="N91" s="879">
        <v>2</v>
      </c>
      <c r="O91" s="879">
        <v>2.1</v>
      </c>
      <c r="P91" s="879">
        <v>2.2</v>
      </c>
      <c r="Q91" s="879">
        <v>2.3</v>
      </c>
      <c r="R91" s="879">
        <v>2.4</v>
      </c>
      <c r="S91" s="879">
        <v>2.5</v>
      </c>
      <c r="T91" s="879">
        <v>2.6</v>
      </c>
      <c r="U91" s="879">
        <v>2.7</v>
      </c>
      <c r="V91" s="877" t="s"/>
      <c r="W91" s="877" t="s"/>
      <c r="X91" s="877" t="s"/>
      <c r="Y91" s="877" t="s"/>
      <c r="Z91" s="877" t="s"/>
      <c r="AA91" s="877" t="s"/>
      <c r="AB91" s="877" t="s"/>
      <c r="AC91" s="877" t="s"/>
      <c r="AD91" s="877" t="s"/>
      <c r="AE91" s="877" t="s"/>
      <c r="AF91" s="877" t="s"/>
      <c r="AG91" s="877" t="s"/>
      <c r="AH91" s="877" t="s"/>
      <c r="AI91" s="877" t="s"/>
      <c r="AJ91" s="877" t="s"/>
      <c r="AK91" s="877" t="s"/>
      <c r="AL91" s="877" t="s"/>
      <c r="AM91" s="877" t="s"/>
      <c r="AN91" s="877" t="s"/>
      <c r="AO91" s="877" t="s"/>
      <c r="AP91" s="877" t="s"/>
      <c r="AQ91" s="877" t="s"/>
      <c r="AR91" s="877" t="s"/>
      <c r="AS91" s="877" t="s"/>
      <c r="AT91" s="877" t="s"/>
    </row>
    <row r="92" spans="1:46" customHeight="1">
      <c r="A92" s="680" t="s"/>
      <c r="B92" s="680" t="s"/>
      <c r="C92" s="878" t="s">
        <v>395</v>
      </c>
      <c r="D92" s="878">
        <v>11</v>
      </c>
      <c r="E92" s="878">
        <v>12</v>
      </c>
      <c r="F92" s="878">
        <v>13</v>
      </c>
      <c r="G92" s="878">
        <v>14</v>
      </c>
      <c r="H92" s="878">
        <v>15</v>
      </c>
      <c r="I92" s="878">
        <v>16</v>
      </c>
      <c r="J92" s="878">
        <v>17</v>
      </c>
      <c r="K92" s="878">
        <v>18</v>
      </c>
      <c r="L92" s="878">
        <v>19</v>
      </c>
      <c r="M92" s="878">
        <v>20</v>
      </c>
      <c r="N92" s="878">
        <v>21</v>
      </c>
      <c r="O92" s="878">
        <v>22</v>
      </c>
      <c r="P92" s="878">
        <v>23</v>
      </c>
      <c r="Q92" s="878">
        <v>24</v>
      </c>
      <c r="R92" s="878">
        <v>25</v>
      </c>
      <c r="S92" s="878">
        <v>26</v>
      </c>
      <c r="T92" s="878">
        <v>27</v>
      </c>
      <c r="U92" s="878">
        <v>28</v>
      </c>
      <c r="V92" s="877" t="s"/>
      <c r="W92" s="877" t="s"/>
      <c r="X92" s="877" t="s"/>
      <c r="Y92" s="877" t="s"/>
      <c r="Z92" s="877" t="s"/>
      <c r="AA92" s="877" t="s"/>
      <c r="AB92" s="877" t="s"/>
      <c r="AC92" s="877" t="s"/>
      <c r="AD92" s="877" t="s"/>
      <c r="AE92" s="877" t="s"/>
      <c r="AF92" s="877" t="s"/>
      <c r="AG92" s="877" t="s"/>
      <c r="AH92" s="877" t="s"/>
      <c r="AI92" s="877" t="s"/>
      <c r="AJ92" s="877" t="s"/>
      <c r="AK92" s="877" t="s"/>
      <c r="AL92" s="877" t="s"/>
      <c r="AM92" s="877" t="s"/>
      <c r="AN92" s="877" t="s"/>
      <c r="AO92" s="877" t="s"/>
      <c r="AP92" s="877" t="s"/>
      <c r="AQ92" s="877" t="s"/>
      <c r="AR92" s="877" t="s"/>
      <c r="AS92" s="877" t="s"/>
      <c r="AT92" s="877" t="s"/>
    </row>
    <row r="93" spans="1:13" customHeight="1">
      <c r="A93" s="900" t="s">
        <v>327</v>
      </c>
      <c r="B93" s="858" t="s">
        <v>426</v>
      </c>
      <c r="C93" s="851" t="s">
        <v>393</v>
      </c>
      <c r="D93" s="861">
        <v>1</v>
      </c>
      <c r="E93" s="861">
        <f>3/E95</f>
        <v>0.75</v>
      </c>
      <c r="F93" s="861">
        <f>3/F95</f>
        <v>0.6</v>
      </c>
      <c r="G93" s="861">
        <f>3/G95</f>
        <v>0.5</v>
      </c>
      <c r="H93" s="861">
        <f>3/H95</f>
        <v>0.428571428571429</v>
      </c>
      <c r="I93" s="861">
        <f>3/I95</f>
        <v>0.375</v>
      </c>
      <c r="J93" s="861">
        <f>3/J95</f>
        <v>0.333333333333333</v>
      </c>
      <c r="K93" s="861">
        <f>3/K95</f>
        <v>0.3</v>
      </c>
      <c r="L93" s="861">
        <f>3/L95</f>
        <v>0.272727272727273</v>
      </c>
      <c r="M93" s="861">
        <f>3/M95</f>
        <v>0.25</v>
      </c>
    </row>
    <row r="94" spans="1:13" customHeight="1">
      <c r="A94" s="678" t="s"/>
      <c r="B94" s="718" t="s"/>
      <c r="C94" s="851" t="s">
        <v>394</v>
      </c>
      <c r="D94" s="852">
        <v>1.15</v>
      </c>
      <c r="E94" s="852">
        <f>D94/(D95-1)*(E95-1)</f>
        <v>1.725</v>
      </c>
      <c r="F94" s="852">
        <f>E94/(E95-1)*(F95-1)</f>
        <v>2.3</v>
      </c>
      <c r="G94" s="852">
        <f>F94/(F95-1)*(G95-1)</f>
        <v>2.875</v>
      </c>
      <c r="H94" s="852">
        <f>G94/(G95-1)*(H95-1)</f>
        <v>3.45</v>
      </c>
      <c r="I94" s="852">
        <f>H94/(H95-1)*(I95-1)</f>
        <v>4.025</v>
      </c>
      <c r="J94" s="852">
        <f>I94/(I95-1)*(J95-1)</f>
        <v>4.6</v>
      </c>
      <c r="K94" s="852">
        <f>J94/(J95-1)*(K95-1)</f>
        <v>5.175</v>
      </c>
      <c r="L94" s="852">
        <f>K94/(K95-1)*(L95-1)</f>
        <v>5.75</v>
      </c>
      <c r="M94" s="852">
        <f>L94/(L95-1)*(M95-1)</f>
        <v>6.325</v>
      </c>
    </row>
    <row r="95" spans="1:13" customHeight="1">
      <c r="A95" s="678" t="s"/>
      <c r="B95" s="718" t="s"/>
      <c r="C95" s="851" t="s">
        <v>395</v>
      </c>
      <c r="D95" s="851">
        <v>3</v>
      </c>
      <c r="E95" s="851">
        <v>4</v>
      </c>
      <c r="F95" s="851">
        <v>5</v>
      </c>
      <c r="G95" s="851">
        <v>6</v>
      </c>
      <c r="H95" s="851">
        <v>7</v>
      </c>
      <c r="I95" s="851">
        <v>8</v>
      </c>
      <c r="J95" s="851">
        <v>9</v>
      </c>
      <c r="K95" s="851">
        <v>10</v>
      </c>
      <c r="L95" s="851">
        <v>11</v>
      </c>
      <c r="M95" s="851">
        <v>12</v>
      </c>
    </row>
    <row r="96" spans="1:18" customHeight="1">
      <c r="A96" s="678" t="s"/>
      <c r="B96" s="858" t="s">
        <v>427</v>
      </c>
      <c r="C96" s="851" t="s">
        <v>393</v>
      </c>
      <c r="D96" s="861">
        <v>1</v>
      </c>
      <c r="E96" s="861">
        <f>6/E98</f>
        <v>0.857142857142857</v>
      </c>
      <c r="F96" s="861">
        <f>6/F98</f>
        <v>0.75</v>
      </c>
      <c r="G96" s="861">
        <f>6/G98</f>
        <v>0.666666666666667</v>
      </c>
      <c r="H96" s="861">
        <f>6/H98</f>
        <v>0.6</v>
      </c>
      <c r="I96" s="861">
        <f>6/I98</f>
        <v>0.545454545454546</v>
      </c>
      <c r="J96" s="861">
        <f>6/J98</f>
        <v>0.5</v>
      </c>
      <c r="K96" s="861">
        <f>6/K98</f>
        <v>0.461538461538462</v>
      </c>
      <c r="L96" s="861">
        <f>6/L98</f>
        <v>0.428571428571429</v>
      </c>
      <c r="M96" s="861">
        <f>6/M98</f>
        <v>0.4</v>
      </c>
      <c r="N96" s="861">
        <f>6/N98</f>
        <v>0.375</v>
      </c>
      <c r="O96" s="861">
        <f>6/O98</f>
        <v>0.352941176470588</v>
      </c>
      <c r="P96" s="861">
        <f>6/P98</f>
        <v>0.333333333333333</v>
      </c>
      <c r="Q96" s="861">
        <f>6/Q98</f>
        <v>0.315789473684211</v>
      </c>
      <c r="R96" s="861">
        <f>6/R98</f>
        <v>0.3</v>
      </c>
    </row>
    <row r="97" spans="1:18" customHeight="1">
      <c r="A97" s="678" t="s"/>
      <c r="B97" s="718" t="s"/>
      <c r="C97" s="851" t="s">
        <v>394</v>
      </c>
      <c r="D97" s="852">
        <v>1.15</v>
      </c>
      <c r="E97" s="852">
        <f>D97/(D98-1)*(E98-1)</f>
        <v>1.38</v>
      </c>
      <c r="F97" s="852">
        <f>E97/(E98-1)*(F98-1)</f>
        <v>1.61</v>
      </c>
      <c r="G97" s="852">
        <f>F97/(F98-1)*(G98-1)</f>
        <v>1.84</v>
      </c>
      <c r="H97" s="852">
        <f>G97/(G98-1)*(H98-1)</f>
        <v>2.07</v>
      </c>
      <c r="I97" s="852">
        <f>H97/(H98-1)*(I98-1)</f>
        <v>2.3</v>
      </c>
      <c r="J97" s="852">
        <f>I97/(I98-1)*(J98-1)</f>
        <v>2.53</v>
      </c>
      <c r="K97" s="852">
        <f>J97/(J98-1)*(K98-1)</f>
        <v>2.76</v>
      </c>
      <c r="L97" s="852">
        <f>K97/(K98-1)*(L98-1)</f>
        <v>2.99</v>
      </c>
      <c r="M97" s="852">
        <f>L97/(L98-1)*(M98-1)</f>
        <v>3.22</v>
      </c>
      <c r="N97" s="852">
        <f>M97/(M98-1)*(N98-1)</f>
        <v>3.45</v>
      </c>
      <c r="O97" s="852">
        <f>N97/(N98-1)*(O98-1)</f>
        <v>3.68</v>
      </c>
      <c r="P97" s="852">
        <f>O97/(O98-1)*(P98-1)</f>
        <v>3.91</v>
      </c>
      <c r="Q97" s="852">
        <f>P97/(P98-1)*(Q98-1)</f>
        <v>4.14</v>
      </c>
      <c r="R97" s="852">
        <f>Q97/(Q98-1)*(R98-1)</f>
        <v>4.37</v>
      </c>
    </row>
    <row r="98" spans="1:18" customHeight="1">
      <c r="A98" s="678" t="s"/>
      <c r="B98" s="718" t="s"/>
      <c r="C98" s="851" t="s">
        <v>395</v>
      </c>
      <c r="D98" s="851">
        <v>6</v>
      </c>
      <c r="E98" s="851">
        <v>7</v>
      </c>
      <c r="F98" s="851">
        <v>8</v>
      </c>
      <c r="G98" s="851">
        <v>9</v>
      </c>
      <c r="H98" s="851">
        <v>10</v>
      </c>
      <c r="I98" s="851">
        <v>11</v>
      </c>
      <c r="J98" s="851">
        <v>12</v>
      </c>
      <c r="K98" s="851">
        <v>13</v>
      </c>
      <c r="L98" s="851">
        <v>14</v>
      </c>
      <c r="M98" s="851">
        <v>15</v>
      </c>
      <c r="N98" s="851">
        <v>16</v>
      </c>
      <c r="O98" s="851">
        <v>17</v>
      </c>
      <c r="P98" s="851">
        <v>18</v>
      </c>
      <c r="Q98" s="851">
        <v>19</v>
      </c>
      <c r="R98" s="851">
        <v>20</v>
      </c>
    </row>
    <row r="99" spans="1:9" customHeight="1">
      <c r="A99" s="678" t="s"/>
      <c r="B99" s="858" t="s">
        <v>428</v>
      </c>
      <c r="C99" s="851" t="s">
        <v>393</v>
      </c>
      <c r="D99" s="861">
        <v>1</v>
      </c>
      <c r="E99" s="861">
        <f>5/E101</f>
        <v>0.833333333333334</v>
      </c>
      <c r="F99" s="861">
        <f>5/F101</f>
        <v>0.714285714285714</v>
      </c>
      <c r="G99" s="861">
        <f>5/G101</f>
        <v>0.625</v>
      </c>
      <c r="H99" s="861">
        <f>5/H101</f>
        <v>0.555555555555556</v>
      </c>
      <c r="I99" s="861">
        <f>5/I101</f>
        <v>0.5</v>
      </c>
    </row>
    <row r="100" spans="1:9" customHeight="1">
      <c r="A100" s="678" t="s"/>
      <c r="B100" s="718" t="s"/>
      <c r="C100" s="851" t="s">
        <v>394</v>
      </c>
      <c r="D100" s="852">
        <v>1.72</v>
      </c>
      <c r="E100" s="852">
        <f>D100/(D101-1)*(E101-1)</f>
        <v>2.15</v>
      </c>
      <c r="F100" s="852">
        <f>E100/(E101-1)*(F101-1)</f>
        <v>2.58</v>
      </c>
      <c r="G100" s="852">
        <f>F100/(F101-1)*(G101-1)</f>
        <v>3.01</v>
      </c>
      <c r="H100" s="852">
        <f>G100/(G101-1)*(H101-1)</f>
        <v>3.44</v>
      </c>
      <c r="I100" s="852">
        <f>H100/(H101-1)*(I101-1)</f>
        <v>3.87</v>
      </c>
    </row>
    <row r="101" spans="1:9" customHeight="1">
      <c r="A101" s="678" t="s"/>
      <c r="B101" s="718" t="s"/>
      <c r="C101" s="851" t="s">
        <v>395</v>
      </c>
      <c r="D101" s="851">
        <v>5</v>
      </c>
      <c r="E101" s="851">
        <v>6</v>
      </c>
      <c r="F101" s="851">
        <v>7</v>
      </c>
      <c r="G101" s="851">
        <v>8</v>
      </c>
      <c r="H101" s="851">
        <v>9</v>
      </c>
      <c r="I101" s="851">
        <v>10</v>
      </c>
    </row>
    <row r="102" spans="1:46" customHeight="1">
      <c r="A102" s="678" t="s"/>
      <c r="B102" s="858" t="s">
        <v>429</v>
      </c>
      <c r="C102" s="851" t="s">
        <v>393</v>
      </c>
      <c r="D102" s="861">
        <v>1</v>
      </c>
      <c r="E102" s="861">
        <f>4/E104</f>
        <v>0.8</v>
      </c>
      <c r="F102" s="861">
        <f>4/F104</f>
        <v>0.666666666666667</v>
      </c>
      <c r="G102" s="861">
        <f>4/G104</f>
        <v>0.571428571428572</v>
      </c>
      <c r="H102" s="861">
        <f>4/H104</f>
        <v>0.5</v>
      </c>
      <c r="I102" s="861">
        <f>4/I104</f>
        <v>0.444444444444445</v>
      </c>
      <c r="J102" s="861">
        <f>4/J104</f>
        <v>0.4</v>
      </c>
      <c r="K102" s="861">
        <f>4/K104</f>
        <v>0.363636363636364</v>
      </c>
      <c r="L102" s="861">
        <f>4/L104</f>
        <v>0.333333333333333</v>
      </c>
      <c r="M102" s="861">
        <f>4/M104</f>
        <v>0.307692307692308</v>
      </c>
      <c r="N102" s="861">
        <f>4/N104</f>
        <v>0.285714285714286</v>
      </c>
      <c r="O102" s="861">
        <f>4/O104</f>
        <v>0.266666666666667</v>
      </c>
      <c r="P102" s="861">
        <f>4/P104</f>
        <v>0.25</v>
      </c>
      <c r="Q102" s="861">
        <f>4/Q104</f>
        <v>0.235294117647059</v>
      </c>
      <c r="R102" s="861">
        <f>4/R104</f>
        <v>0.222222222222222</v>
      </c>
      <c r="S102" s="861">
        <f>4/S104</f>
        <v>0.210526315789474</v>
      </c>
      <c r="T102" s="861">
        <f>4/T104</f>
        <v>0.2</v>
      </c>
      <c r="U102" s="861">
        <f>4/U104</f>
        <v>0.190476190476191</v>
      </c>
      <c r="V102" s="861">
        <f>4/V104</f>
        <v>0.181818181818182</v>
      </c>
      <c r="W102" s="861">
        <f>4/W104</f>
        <v>0.173913043478261</v>
      </c>
      <c r="X102" s="861">
        <f>4/X104</f>
        <v>0.166666666666667</v>
      </c>
      <c r="Y102" s="861">
        <f>4/Y104</f>
        <v>0.16</v>
      </c>
      <c r="Z102" s="861">
        <f>4/Z104</f>
        <v>0.153846153846154</v>
      </c>
      <c r="AA102" s="901" t="s"/>
      <c r="AB102" s="901" t="s"/>
      <c r="AC102" s="901" t="s"/>
      <c r="AD102" s="901" t="s"/>
      <c r="AE102" s="901" t="s"/>
      <c r="AF102" s="901" t="s"/>
      <c r="AG102" s="901" t="s"/>
      <c r="AH102" s="901" t="s"/>
      <c r="AI102" s="901" t="s"/>
      <c r="AJ102" s="901" t="s"/>
      <c r="AK102" s="901" t="s"/>
      <c r="AL102" s="901" t="s"/>
      <c r="AM102" s="901" t="s"/>
      <c r="AN102" s="901" t="s"/>
      <c r="AO102" s="901" t="s"/>
      <c r="AP102" s="901" t="s"/>
      <c r="AQ102" s="901" t="s"/>
      <c r="AR102" s="901" t="s"/>
      <c r="AS102" s="901" t="s"/>
      <c r="AT102" s="901" t="s"/>
    </row>
    <row r="103" spans="1:46" customHeight="1">
      <c r="A103" s="678" t="s"/>
      <c r="B103" s="718" t="s"/>
      <c r="C103" s="851" t="s">
        <v>394</v>
      </c>
      <c r="D103" s="852">
        <v>2.52</v>
      </c>
      <c r="E103" s="852">
        <f>D103/(D104-1)*(E104-1)</f>
        <v>3.36</v>
      </c>
      <c r="F103" s="852">
        <f>E103/(E104-1)*(F104-1)</f>
        <v>4.2</v>
      </c>
      <c r="G103" s="852">
        <f>F103/(F104-1)*(G104-1)</f>
        <v>5.04</v>
      </c>
      <c r="H103" s="852">
        <f>G103/(G104-1)*(H104-1)</f>
        <v>5.88</v>
      </c>
      <c r="I103" s="852">
        <f>H103/(H104-1)*(I104-1)</f>
        <v>6.72</v>
      </c>
      <c r="J103" s="852">
        <f>I103/(I104-1)*(J104-1)</f>
        <v>7.56</v>
      </c>
      <c r="K103" s="852">
        <f>J103/(J104-1)*(K104-1)</f>
        <v>8.4</v>
      </c>
      <c r="L103" s="852">
        <f>K103/(K104-1)*(L104-1)</f>
        <v>9.24</v>
      </c>
      <c r="M103" s="852">
        <f>L103/(L104-1)*(M104-1)</f>
        <v>10.08</v>
      </c>
      <c r="N103" s="852">
        <f>M103/(M104-1)*(N104-1)</f>
        <v>10.92</v>
      </c>
      <c r="O103" s="852">
        <f>N103/(N104-1)*(O104-1)</f>
        <v>11.76</v>
      </c>
      <c r="P103" s="852">
        <f>O103/(O104-1)*(P104-1)</f>
        <v>12.6</v>
      </c>
      <c r="Q103" s="852">
        <f>P103/(P104-1)*(Q104-1)</f>
        <v>13.44</v>
      </c>
      <c r="R103" s="852">
        <f>Q103/(Q104-1)*(R104-1)</f>
        <v>14.28</v>
      </c>
      <c r="S103" s="852">
        <f>R103/(R104-1)*(S104-1)</f>
        <v>15.12</v>
      </c>
      <c r="T103" s="852">
        <f>S103/(S104-1)*(T104-1)</f>
        <v>15.96</v>
      </c>
      <c r="U103" s="852">
        <f>T103/(T104-1)*(U104-1)</f>
        <v>16.8</v>
      </c>
      <c r="V103" s="852">
        <f>U103/(U104-1)*(V104-1)</f>
        <v>17.64</v>
      </c>
      <c r="W103" s="852">
        <f>V103/(V104-1)*(W104-1)</f>
        <v>18.48</v>
      </c>
      <c r="X103" s="852">
        <f>W103/(W104-1)*(X104-1)</f>
        <v>19.32</v>
      </c>
      <c r="Y103" s="852">
        <f>X103/(X104-1)*(Y104-1)</f>
        <v>20.16</v>
      </c>
      <c r="Z103" s="852">
        <f>Y103/(Y104-1)*(Z104-1)</f>
        <v>21</v>
      </c>
      <c r="AA103" s="899" t="s"/>
      <c r="AB103" s="899" t="s"/>
      <c r="AC103" s="899" t="s"/>
      <c r="AD103" s="899" t="s"/>
      <c r="AE103" s="899" t="s"/>
      <c r="AF103" s="899" t="s"/>
      <c r="AG103" s="899" t="s"/>
      <c r="AH103" s="899" t="s"/>
      <c r="AI103" s="899" t="s"/>
      <c r="AJ103" s="899" t="s"/>
      <c r="AK103" s="899" t="s"/>
      <c r="AL103" s="899" t="s"/>
      <c r="AM103" s="899" t="s"/>
      <c r="AN103" s="899" t="s"/>
      <c r="AO103" s="899" t="s"/>
      <c r="AP103" s="899" t="s"/>
      <c r="AQ103" s="899" t="s"/>
      <c r="AR103" s="899" t="s"/>
      <c r="AS103" s="899" t="s"/>
      <c r="AT103" s="899" t="s"/>
    </row>
    <row r="104" spans="1:26" customHeight="1">
      <c r="A104" s="678" t="s"/>
      <c r="B104" s="718" t="s"/>
      <c r="C104" s="851" t="s">
        <v>395</v>
      </c>
      <c r="D104" s="851">
        <v>4</v>
      </c>
      <c r="E104" s="851">
        <v>5</v>
      </c>
      <c r="F104" s="851">
        <v>6</v>
      </c>
      <c r="G104" s="851">
        <v>7</v>
      </c>
      <c r="H104" s="851">
        <v>8</v>
      </c>
      <c r="I104" s="851">
        <v>9</v>
      </c>
      <c r="J104" s="851">
        <v>10</v>
      </c>
      <c r="K104" s="851">
        <v>11</v>
      </c>
      <c r="L104" s="851">
        <v>12</v>
      </c>
      <c r="M104" s="851">
        <v>13</v>
      </c>
      <c r="N104" s="851">
        <v>14</v>
      </c>
      <c r="O104" s="851">
        <v>15</v>
      </c>
      <c r="P104" s="851">
        <v>16</v>
      </c>
      <c r="Q104" s="851">
        <v>17</v>
      </c>
      <c r="R104" s="851">
        <v>18</v>
      </c>
      <c r="S104" s="851">
        <v>19</v>
      </c>
      <c r="T104" s="851">
        <v>20</v>
      </c>
      <c r="U104" s="851">
        <v>21</v>
      </c>
      <c r="V104" s="851">
        <v>22</v>
      </c>
      <c r="W104" s="851">
        <v>23</v>
      </c>
      <c r="X104" s="851">
        <v>24</v>
      </c>
      <c r="Y104" s="851">
        <v>25</v>
      </c>
      <c r="Z104" s="851">
        <v>26</v>
      </c>
    </row>
    <row r="105" spans="1:8" customHeight="1">
      <c r="A105" s="900" t="s">
        <v>334</v>
      </c>
      <c r="B105" s="858" t="s">
        <v>430</v>
      </c>
      <c r="C105" s="851" t="s">
        <v>393</v>
      </c>
      <c r="D105" s="861">
        <v>1</v>
      </c>
      <c r="E105" s="861">
        <f>5/E107</f>
        <v>1</v>
      </c>
      <c r="F105" s="861">
        <f>5/F107</f>
        <v>0.833333333333334</v>
      </c>
      <c r="G105" s="861">
        <f>5/G107</f>
        <v>0.714285714285714</v>
      </c>
      <c r="H105" s="861">
        <f>5/H107</f>
        <v>0.625</v>
      </c>
    </row>
    <row r="106" spans="1:8" customHeight="1">
      <c r="A106" s="678" t="s"/>
      <c r="B106" s="718" t="s"/>
      <c r="C106" s="851" t="s">
        <v>394</v>
      </c>
      <c r="D106" s="852">
        <v>1.08</v>
      </c>
      <c r="E106" s="852">
        <f>D106/(D107-1)*(E107-1)</f>
        <v>1.44</v>
      </c>
      <c r="F106" s="852">
        <f>E106/(E107-1)*(F107-1)</f>
        <v>1.8</v>
      </c>
      <c r="G106" s="852">
        <f>F106/(F107-1)*(G107-1)</f>
        <v>2.16</v>
      </c>
      <c r="H106" s="852">
        <f>G106/(G107-1)*(H107-1)</f>
        <v>2.52</v>
      </c>
    </row>
    <row r="107" spans="1:8" customHeight="1">
      <c r="A107" s="678" t="s"/>
      <c r="B107" s="718" t="s"/>
      <c r="C107" s="851" t="s">
        <v>395</v>
      </c>
      <c r="D107" s="851">
        <v>4</v>
      </c>
      <c r="E107" s="851">
        <v>5</v>
      </c>
      <c r="F107" s="851">
        <v>6</v>
      </c>
      <c r="G107" s="851">
        <v>7</v>
      </c>
      <c r="H107" s="851">
        <v>8</v>
      </c>
    </row>
    <row r="108" spans="1:12" customHeight="1">
      <c r="A108" s="678" t="s"/>
      <c r="B108" s="858" t="s">
        <v>431</v>
      </c>
      <c r="C108" s="851" t="s">
        <v>393</v>
      </c>
      <c r="D108" s="861">
        <v>1</v>
      </c>
      <c r="E108" s="861">
        <f>4/E110</f>
        <v>0.8</v>
      </c>
      <c r="F108" s="861">
        <f>4/F110</f>
        <v>0.666666666666667</v>
      </c>
      <c r="G108" s="861">
        <f>4/G110</f>
        <v>0.571428571428572</v>
      </c>
      <c r="H108" s="861">
        <f>4/H110</f>
        <v>0.5</v>
      </c>
      <c r="I108" s="861">
        <f>4/I110</f>
        <v>0.444444444444445</v>
      </c>
      <c r="J108" s="861">
        <f>4/J110</f>
        <v>0.4</v>
      </c>
      <c r="K108" s="861">
        <f>4/K110</f>
        <v>0.363636363636364</v>
      </c>
      <c r="L108" s="861">
        <f>4/L110</f>
        <v>0.333333333333333</v>
      </c>
    </row>
    <row r="109" spans="1:12" customHeight="1">
      <c r="A109" s="678" t="s"/>
      <c r="B109" s="718" t="s"/>
      <c r="C109" s="851" t="s">
        <v>394</v>
      </c>
      <c r="D109" s="852">
        <v>2.3</v>
      </c>
      <c r="E109" s="852">
        <f>D109/(D110-1)*(E110-1)</f>
        <v>3.06666666666667</v>
      </c>
      <c r="F109" s="852">
        <f>E109/(E110-1)*(F110-1)</f>
        <v>3.83333333333333</v>
      </c>
      <c r="G109" s="852">
        <f>F109/(F110-1)*(G110-1)</f>
        <v>4.6</v>
      </c>
      <c r="H109" s="852">
        <f>G109/(G110-1)*(H110-1)</f>
        <v>5.36666666666667</v>
      </c>
      <c r="I109" s="852">
        <f>H109/(H110-1)*(I110-1)</f>
        <v>6.13333333333333</v>
      </c>
      <c r="J109" s="852">
        <f>I109/(I110-1)*(J110-1)</f>
        <v>6.9</v>
      </c>
      <c r="K109" s="852">
        <f>J109/(J110-1)*(K110-1)</f>
        <v>7.66666666666667</v>
      </c>
      <c r="L109" s="852">
        <f>K109/(K110-1)*(L110-1)</f>
        <v>8.43333333333334</v>
      </c>
    </row>
    <row r="110" spans="1:12" customHeight="1">
      <c r="A110" s="678" t="s"/>
      <c r="B110" s="718" t="s"/>
      <c r="C110" s="851" t="s">
        <v>395</v>
      </c>
      <c r="D110" s="851">
        <v>4</v>
      </c>
      <c r="E110" s="851">
        <v>5</v>
      </c>
      <c r="F110" s="851">
        <v>6</v>
      </c>
      <c r="G110" s="851">
        <v>7</v>
      </c>
      <c r="H110" s="851">
        <v>8</v>
      </c>
      <c r="I110" s="851">
        <v>9</v>
      </c>
      <c r="J110" s="851">
        <v>10</v>
      </c>
      <c r="K110" s="851">
        <v>11</v>
      </c>
      <c r="L110" s="851">
        <v>12</v>
      </c>
    </row>
    <row r="111" spans="1:8" customHeight="1">
      <c r="A111" s="678" t="s"/>
      <c r="B111" s="858" t="s">
        <v>432</v>
      </c>
      <c r="C111" s="851" t="s">
        <v>393</v>
      </c>
      <c r="D111" s="861">
        <v>1</v>
      </c>
      <c r="E111" s="861">
        <f>3/E113</f>
        <v>0.75</v>
      </c>
      <c r="F111" s="861">
        <f>3/F113</f>
        <v>0.6</v>
      </c>
      <c r="G111" s="861">
        <f>3/G113</f>
        <v>0.5</v>
      </c>
      <c r="H111" s="861">
        <f>3/H113</f>
        <v>0.428571428571429</v>
      </c>
    </row>
    <row r="112" spans="1:8" customHeight="1">
      <c r="A112" s="678" t="s"/>
      <c r="B112" s="718" t="s"/>
      <c r="C112" s="851" t="s">
        <v>394</v>
      </c>
      <c r="D112" s="852">
        <v>3.21</v>
      </c>
      <c r="E112" s="852">
        <f>D112/(D113-1)*(E113-1)</f>
        <v>4.815</v>
      </c>
      <c r="F112" s="852">
        <f>E112/(E113-1)*(F113-1)</f>
        <v>6.42</v>
      </c>
      <c r="G112" s="852">
        <f>F112/(F113-1)*(G113-1)</f>
        <v>8.025</v>
      </c>
      <c r="H112" s="852">
        <f>G112/(G113-1)*(H113-1)</f>
        <v>9.63</v>
      </c>
    </row>
    <row r="113" spans="1:8" customHeight="1">
      <c r="A113" s="678" t="s"/>
      <c r="B113" s="718" t="s"/>
      <c r="C113" s="851" t="s">
        <v>395</v>
      </c>
      <c r="D113" s="851">
        <v>3</v>
      </c>
      <c r="E113" s="851">
        <v>4</v>
      </c>
      <c r="F113" s="851">
        <v>5</v>
      </c>
      <c r="G113" s="851">
        <v>6</v>
      </c>
      <c r="H113" s="851">
        <v>7</v>
      </c>
    </row>
    <row r="114" spans="1:11" customHeight="1">
      <c r="A114" s="900" t="s"/>
      <c r="B114" s="858" t="s">
        <v>433</v>
      </c>
      <c r="C114" s="851" t="s">
        <v>393</v>
      </c>
      <c r="D114" s="861">
        <v>1</v>
      </c>
      <c r="E114" s="861">
        <f>3/E116</f>
        <v>0.75</v>
      </c>
      <c r="F114" s="861">
        <f>3/F116</f>
        <v>0.6</v>
      </c>
      <c r="G114" s="861">
        <f>3/G116</f>
        <v>0.5</v>
      </c>
      <c r="H114" s="861">
        <f>3/H116</f>
        <v>0.428571428571429</v>
      </c>
      <c r="I114" s="901" t="s"/>
      <c r="J114" s="901" t="s"/>
      <c r="K114" s="864" t="s"/>
    </row>
    <row r="115" spans="1:11" customHeight="1">
      <c r="A115" s="900" t="s"/>
      <c r="B115" s="718" t="s"/>
      <c r="C115" s="851" t="s">
        <v>394</v>
      </c>
      <c r="D115" s="852">
        <v>2.72</v>
      </c>
      <c r="E115" s="852">
        <f>D115/(D116-1)*(E116-1)</f>
        <v>4.08</v>
      </c>
      <c r="F115" s="852">
        <f>E115/(E116-1)*(F116-1)</f>
        <v>5.44</v>
      </c>
      <c r="G115" s="852">
        <f>F115/(F116-1)*(G116-1)</f>
        <v>6.8</v>
      </c>
      <c r="H115" s="852">
        <f>G115/(G116-1)*(H116-1)</f>
        <v>8.16</v>
      </c>
      <c r="I115" s="901" t="s"/>
      <c r="J115" s="862" t="s"/>
      <c r="K115" s="864" t="s"/>
    </row>
    <row r="116" spans="1:11" customHeight="1">
      <c r="A116" s="900" t="s"/>
      <c r="B116" s="718" t="s"/>
      <c r="C116" s="851" t="s">
        <v>395</v>
      </c>
      <c r="D116" s="851">
        <v>3</v>
      </c>
      <c r="E116" s="851">
        <v>4</v>
      </c>
      <c r="F116" s="851">
        <v>5</v>
      </c>
      <c r="G116" s="851">
        <v>6</v>
      </c>
      <c r="H116" s="851">
        <v>7</v>
      </c>
      <c r="I116" s="901" t="s"/>
      <c r="J116" s="862" t="s"/>
      <c r="K116" s="864" t="s"/>
    </row>
    <row r="117" spans="1:11" customHeight="1">
      <c r="A117" s="678" t="s"/>
      <c r="B117" s="858" t="s">
        <v>434</v>
      </c>
      <c r="C117" s="851" t="s">
        <v>393</v>
      </c>
      <c r="D117" s="861">
        <v>1</v>
      </c>
      <c r="E117" s="861">
        <f>3/E119</f>
        <v>0.6</v>
      </c>
      <c r="F117" s="861">
        <f>3/F119</f>
        <v>0.5</v>
      </c>
      <c r="G117" s="861">
        <f>3/G119</f>
        <v>0.428571428571429</v>
      </c>
      <c r="H117" s="861">
        <f>3/H119</f>
        <v>0.375</v>
      </c>
      <c r="I117" s="861">
        <f>3/I119</f>
        <v>0.333333333333333</v>
      </c>
      <c r="J117" s="862" t="s"/>
      <c r="K117" s="864" t="s"/>
    </row>
    <row r="118" spans="1:11" customHeight="1">
      <c r="A118" s="678" t="s"/>
      <c r="B118" s="718" t="s"/>
      <c r="C118" s="851" t="s">
        <v>394</v>
      </c>
      <c r="D118" s="852">
        <v>2.55</v>
      </c>
      <c r="E118" s="852">
        <f>D118/(D119-1)*(E119-1)</f>
        <v>3.4</v>
      </c>
      <c r="F118" s="852">
        <f>E118/(E119-1)*(F119-1)</f>
        <v>4.25</v>
      </c>
      <c r="G118" s="852">
        <f>F118/(F119-1)*(G119-1)</f>
        <v>5.1</v>
      </c>
      <c r="H118" s="852">
        <f>G118/(G119-1)*(H119-1)</f>
        <v>5.95</v>
      </c>
      <c r="I118" s="852">
        <f>H118/(H119-1)*(I119-1)</f>
        <v>6.8</v>
      </c>
      <c r="J118" s="862" t="s"/>
      <c r="K118" s="864" t="s"/>
    </row>
    <row r="119" spans="1:11" customHeight="1">
      <c r="A119" s="678" t="s"/>
      <c r="B119" s="718" t="s"/>
      <c r="C119" s="851" t="s">
        <v>395</v>
      </c>
      <c r="D119" s="851">
        <v>4</v>
      </c>
      <c r="E119" s="851">
        <v>5</v>
      </c>
      <c r="F119" s="851">
        <v>6</v>
      </c>
      <c r="G119" s="851">
        <v>7</v>
      </c>
      <c r="H119" s="851">
        <v>8</v>
      </c>
      <c r="I119" s="851">
        <v>9</v>
      </c>
      <c r="J119" s="862" t="s"/>
      <c r="K119" s="864" t="s"/>
    </row>
    <row r="120" spans="2:11" ht="14.25">
      <c r="B120" s="864" t="s"/>
      <c r="C120" s="864" t="s"/>
      <c r="D120" s="864" t="s"/>
      <c r="E120" s="864" t="s"/>
      <c r="F120" s="864" t="s"/>
      <c r="G120" s="864" t="s"/>
      <c r="H120" s="864" t="s"/>
      <c r="I120" s="864" t="s"/>
      <c r="J120" s="864" t="s"/>
      <c r="K120" s="864" t="s"/>
    </row>
    <row r="121" spans="2:11" ht="14.25">
      <c r="B121" s="864" t="s"/>
      <c r="C121" s="864" t="s"/>
      <c r="D121" s="864" t="s"/>
      <c r="E121" s="864" t="s"/>
      <c r="F121" s="864" t="s"/>
      <c r="G121" s="864" t="s"/>
      <c r="H121" s="864" t="s"/>
      <c r="I121" s="864" t="s"/>
      <c r="J121" s="864" t="s"/>
      <c r="K121" s="864" t="s"/>
    </row>
    <row r="122" spans="2:11" ht="14.25">
      <c r="B122" s="864" t="s"/>
      <c r="C122" s="864" t="s"/>
      <c r="D122" s="864" t="s"/>
      <c r="E122" s="864" t="s"/>
      <c r="F122" s="864" t="s"/>
      <c r="G122" s="864" t="s"/>
      <c r="H122" s="864" t="s"/>
      <c r="I122" s="864" t="s"/>
      <c r="J122" s="864" t="s"/>
      <c r="K122" s="864" t="s"/>
    </row>
  </sheetData>
  <mergeCells count="47">
    <mergeCell ref="A1:Z1"/>
    <mergeCell ref="A2:Z2"/>
    <mergeCell ref="A3:A32"/>
    <mergeCell ref="A33:A53"/>
    <mergeCell ref="A54:A71"/>
    <mergeCell ref="A72:A92"/>
    <mergeCell ref="A93:A104"/>
    <mergeCell ref="A105:A119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11:B113"/>
    <mergeCell ref="B114:B116"/>
    <mergeCell ref="B117:B119"/>
  </mergeCells>
  <hyperlinks>
    <hyperlink ref="A2" r:id="rId0" display="点击传送：APEX可视化曲线网站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2026-10-24T12:07:53Z</dcterms:created>
  <dcterms:modified xsi:type="dcterms:W3CDTF">2026-10-24T12:07:53Z</dcterms:modified>
</cp:coreProperties>
</file>