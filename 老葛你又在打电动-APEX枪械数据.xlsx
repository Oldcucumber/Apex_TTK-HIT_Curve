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="http://schemas.openxmlformats.org/spreadsheetml/2006/main" xmlns:r="http://schemas.openxmlformats.org/officeDocument/2006/relationships" xmlns:mc="http://schemas.openxmlformats.org/markup-compatibility/2006" mc:Ignorable="x15ac">
  <workbookPr/>
  <x15ac:absPath url="D:\素材库\作品库\24赛季初TTK\"/>
  <bookViews>
    <workbookView activeTab="0"/>
  </bookViews>
  <sheets>
    <sheet name="TTK排行榜" sheetId="1" r:id="rId3"/>
    <sheet name="可视化曲线" sheetId="2" r:id="rId4"/>
    <sheet name="容错率" sheetId="3" r:id="rId5"/>
    <sheet name="灵活性" sheetId="4" r:id="rId6"/>
  </sheets>
  <calcPr calcId="191029"/>
</workbook>
</file>

<file path=xl/sharedStrings.xml><?xml version="1.0" encoding="utf-8"?>
<sst xmlns="http://schemas.openxmlformats.org/spreadsheetml/2006/main" count="436" uniqueCount="436">
  <si>
    <t/>
  </si>
  <si>
    <t>APEX枪械实测数据表</t>
  </si>
  <si>
    <t>注意更新时间：APEX29上半赛季 2026年4月30日 by老葛你又在打电动</t>
  </si>
  <si>
    <t>最新武器增强</t>
  </si>
  <si>
    <t>最新武器削弱</t>
  </si>
  <si>
    <t>最新武器轮换</t>
  </si>
  <si>
    <t>武器列表</t>
  </si>
  <si>
    <t>单发伤害</t>
  </si>
  <si>
    <t>弹匣容量</t>
  </si>
  <si>
    <t>击杀必要子弹数（打胸）</t>
  </si>
  <si>
    <t>TTK（打胸）</t>
  </si>
  <si>
    <t>→备注</t>
  </si>
  <si>
    <t>胸部</t>
  </si>
  <si>
    <t>腿部</t>
  </si>
  <si>
    <t>头部</t>
  </si>
  <si>
    <t>白甲
（150）</t>
  </si>
  <si>
    <t>蓝甲
（175）</t>
  </si>
  <si>
    <t>紫甲/金甲
（200）</t>
  </si>
  <si>
    <t>红甲
（225）</t>
  </si>
  <si>
    <t>伤害倍率</t>
  </si>
  <si>
    <t>具体数值</t>
  </si>
  <si>
    <t>兰伯特大招</t>
  </si>
  <si>
    <t>1.00x</t>
  </si>
  <si>
    <t>2.00x</t>
  </si>
  <si>
    <t>秒杀0.52s</t>
  </si>
  <si>
    <t>秒杀0.63s</t>
  </si>
  <si>
    <t>秒杀0.73s</t>
  </si>
  <si>
    <t>秒杀0.83s</t>
  </si>
  <si>
    <t>转换者冲锋枪</t>
  </si>
  <si>
    <t>默认</t>
  </si>
  <si>
    <t>0.80x</t>
  </si>
  <si>
    <t>1.25x</t>
  </si>
  <si>
    <t>20/24/26/30</t>
  </si>
  <si>
    <t>0.70s</t>
  </si>
  <si>
    <t>0.92s</t>
  </si>
  <si>
    <t>0.99s</t>
  </si>
  <si>
    <t>1.09s</t>
  </si>
  <si>
    <t>双发板机激活点数：375→425</t>
  </si>
  <si>
    <t>双发</t>
  </si>
  <si>
    <t>15*2</t>
  </si>
  <si>
    <t>12*2</t>
  </si>
  <si>
    <t>19*2</t>
  </si>
  <si>
    <t>0.52s</t>
  </si>
  <si>
    <t>0.65s</t>
  </si>
  <si>
    <t>0.78s</t>
  </si>
  <si>
    <t>0.90s</t>
  </si>
  <si>
    <t>专注轻机枪</t>
  </si>
  <si>
    <t>无涡轮+冷启动</t>
  </si>
  <si>
    <t>0.90x</t>
  </si>
  <si>
    <t>36/40/44/48</t>
  </si>
  <si>
    <t>1.18s</t>
  </si>
  <si>
    <t>1.33s</t>
  </si>
  <si>
    <t>1.48s</t>
  </si>
  <si>
    <t>涡轮激活点数：500→425</t>
  </si>
  <si>
    <t>有涡轮+冷启动</t>
  </si>
  <si>
    <t>0.86s</t>
  </si>
  <si>
    <t>0.93s</t>
  </si>
  <si>
    <t>1.07s</t>
  </si>
  <si>
    <t>1.19s</t>
  </si>
  <si>
    <t>预热至最高射速</t>
  </si>
  <si>
    <t>0.59s</t>
  </si>
  <si>
    <t>0.67s</t>
  </si>
  <si>
    <t>0.80s</t>
  </si>
  <si>
    <t>双持 莫桑比克</t>
  </si>
  <si>
    <t>紫枪栓</t>
  </si>
  <si>
    <t>单颗17
满喷51</t>
  </si>
  <si>
    <t>单颗21
满喷63</t>
  </si>
  <si>
    <t>0.58s</t>
  </si>
  <si>
    <t>1.15s</t>
  </si>
  <si>
    <t>彩弹-紫枪栓</t>
  </si>
  <si>
    <t>0.54s</t>
  </si>
  <si>
    <t>0.81s</t>
  </si>
  <si>
    <t>1.08s</t>
  </si>
  <si>
    <t>19→5</t>
  </si>
  <si>
    <t>L-star（进空投）</t>
  </si>
  <si>
    <t>普通</t>
  </si>
  <si>
    <t>22/24/26/28</t>
  </si>
  <si>
    <t>0.72s</t>
  </si>
  <si>
    <t>1.02s</t>
  </si>
  <si>
    <t>1.12s</t>
  </si>
  <si>
    <t>越接近过热，伤害越高，弹丸越大
1~6发，包含6发子弹，单发伤害20
7~12发，包含6发子弹，单发伤害21
13~17发，包含5发子弹，单发伤害22
18~23发，包含6发子弹，单发伤害23
24~28发，包含5发子弹，单发伤害24</t>
  </si>
  <si>
    <t>彩弹</t>
  </si>
  <si>
    <t>26/28/30/32</t>
  </si>
  <si>
    <t>空投</t>
  </si>
  <si>
    <t>20~24</t>
  </si>
  <si>
    <t>17~19</t>
  </si>
  <si>
    <t>25~30</t>
  </si>
  <si>
    <t>固定28</t>
  </si>
  <si>
    <t>7~8</t>
  </si>
  <si>
    <t>8~9</t>
  </si>
  <si>
    <t>9~10</t>
  </si>
  <si>
    <t>10~11</t>
  </si>
  <si>
    <t>0.62s~0.72s</t>
  </si>
  <si>
    <t>0.72s~0.82s</t>
  </si>
  <si>
    <t>0.82s~0.92s</t>
  </si>
  <si>
    <t>0.92s~1.02s</t>
  </si>
  <si>
    <t>猎兽冲锋枪</t>
  </si>
  <si>
    <t>全自动</t>
  </si>
  <si>
    <t>1.20x</t>
  </si>
  <si>
    <t>20/25/30/35</t>
  </si>
  <si>
    <t>0.61s</t>
  </si>
  <si>
    <t>0.76s</t>
  </si>
  <si>
    <t>0.83s</t>
  </si>
  <si>
    <t>5连发</t>
  </si>
  <si>
    <t>0.62s</t>
  </si>
  <si>
    <t>0.84s</t>
  </si>
  <si>
    <t>0.94s</t>
  </si>
  <si>
    <t>1.03s</t>
  </si>
  <si>
    <t>哈沃克</t>
  </si>
  <si>
    <t>0.75x</t>
  </si>
  <si>
    <t>18/21/25/29</t>
  </si>
  <si>
    <t>蓄力0.42s
0.63s秒杀</t>
  </si>
  <si>
    <t>蓄力0.42s
秒杀0.72s</t>
  </si>
  <si>
    <t>蓄力0.42s
秒杀0.83s</t>
  </si>
  <si>
    <t>蓄力0.42s
秒杀0.99s</t>
  </si>
  <si>
    <t>RE-45</t>
  </si>
  <si>
    <t>15/18/21/27</t>
  </si>
  <si>
    <t>蓄力0.39s
秒杀0.58s</t>
  </si>
  <si>
    <t>蓄力0.39s
秒杀0.78s</t>
  </si>
  <si>
    <t>蓄力0.39s
秒杀0.83s</t>
  </si>
  <si>
    <t>蓄力0.39s
秒杀1.03s</t>
  </si>
  <si>
    <t xml:space="preserve"> </t>
  </si>
  <si>
    <t>EVA-8</t>
  </si>
  <si>
    <t>单颗7
满喷56
双发102</t>
  </si>
  <si>
    <t>0.89s</t>
  </si>
  <si>
    <t>1.20s</t>
  </si>
  <si>
    <t>双发扳机+紫枪栓</t>
  </si>
  <si>
    <t>1.40s</t>
  </si>
  <si>
    <t>R-99</t>
  </si>
  <si>
    <t>18/21/24/27</t>
  </si>
  <si>
    <t>0.73s</t>
  </si>
  <si>
    <t>0.85s</t>
  </si>
  <si>
    <t>0.97s</t>
  </si>
  <si>
    <t>复仇女神</t>
  </si>
  <si>
    <t>预热4枪（MAX）</t>
  </si>
  <si>
    <t>1.30x</t>
  </si>
  <si>
    <t>20/24/28/32</t>
  </si>
  <si>
    <t>0.82s</t>
  </si>
  <si>
    <t>0.87s</t>
  </si>
  <si>
    <t>冷启动</t>
  </si>
  <si>
    <t>0.91s</t>
  </si>
  <si>
    <t>1.38s</t>
  </si>
  <si>
    <t>5→12</t>
  </si>
  <si>
    <t>C.A.R冲锋枪</t>
  </si>
  <si>
    <t>干扰器</t>
  </si>
  <si>
    <t>打甲16
打肉14</t>
  </si>
  <si>
    <t>打甲13
打肉11</t>
  </si>
  <si>
    <t>打甲20
打肉18</t>
  </si>
  <si>
    <t>固定30</t>
  </si>
  <si>
    <t>0.64s</t>
  </si>
  <si>
    <t>0.69s</t>
  </si>
  <si>
    <t>0.96s</t>
  </si>
  <si>
    <t>回归正常强度，紫弹匣比以前多2颗</t>
  </si>
  <si>
    <t>锤击点</t>
  </si>
  <si>
    <t>打甲14
打肉16</t>
  </si>
  <si>
    <t>打甲11
打肉13</t>
  </si>
  <si>
    <t>打甲18
打肉20</t>
  </si>
  <si>
    <t>0.57s</t>
  </si>
  <si>
    <t>出空投</t>
  </si>
  <si>
    <t>20/23/26/30</t>
  </si>
  <si>
    <t>0.77s</t>
  </si>
  <si>
    <t>双持P2020</t>
  </si>
  <si>
    <t>18/20/22/24</t>
  </si>
  <si>
    <t>1.14s</t>
  </si>
  <si>
    <t>打甲23
打肉26</t>
  </si>
  <si>
    <t>打甲21
打肉23</t>
  </si>
  <si>
    <t>打甲29
打肉33</t>
  </si>
  <si>
    <t xml:space="preserve">平行步枪 </t>
  </si>
  <si>
    <t>19/23/27/29</t>
  </si>
  <si>
    <t>1.10s</t>
  </si>
  <si>
    <t>暴走轻机枪</t>
  </si>
  <si>
    <t>充能</t>
  </si>
  <si>
    <t>0.85x</t>
  </si>
  <si>
    <t>28/32/34/40</t>
  </si>
  <si>
    <t xml:space="preserve"> 0.77s</t>
  </si>
  <si>
    <t>1.00s</t>
  </si>
  <si>
    <t>1.42s</t>
  </si>
  <si>
    <t>R-301</t>
  </si>
  <si>
    <t>21/23/28/31</t>
  </si>
  <si>
    <t>1.04s</t>
  </si>
  <si>
    <t>G7侦查枪</t>
  </si>
  <si>
    <t>单发</t>
  </si>
  <si>
    <t>1.50x</t>
  </si>
  <si>
    <t>固定18</t>
  </si>
  <si>
    <t>1.13s</t>
  </si>
  <si>
    <t>1.35s</t>
  </si>
  <si>
    <t>0.98s</t>
  </si>
  <si>
    <t>喷火轻机枪</t>
  </si>
  <si>
    <t>35/40/45/50</t>
  </si>
  <si>
    <t>0.88s</t>
  </si>
  <si>
    <t>电能冲锋枪</t>
  </si>
  <si>
    <t>20/22/24/27</t>
  </si>
  <si>
    <t>1.01s</t>
  </si>
  <si>
    <t>22/24/26/29</t>
  </si>
  <si>
    <t>小帮手</t>
  </si>
  <si>
    <t>1.5x</t>
  </si>
  <si>
    <t>固定75</t>
  </si>
  <si>
    <t>5/6/7/8</t>
  </si>
  <si>
    <t>1.43s</t>
  </si>
  <si>
    <t>7/8/9/10</t>
  </si>
  <si>
    <t>赫姆洛克</t>
  </si>
  <si>
    <t>慢速连发</t>
  </si>
  <si>
    <t>1.40x</t>
  </si>
  <si>
    <t>1.31s</t>
  </si>
  <si>
    <t>榴弹冷却时间15s→26s</t>
  </si>
  <si>
    <t>榴弹</t>
  </si>
  <si>
    <t>爆炸伤害10~38，距离越远伤害越低
对于窗户和战术道具伤害增强</t>
  </si>
  <si>
    <t>每15s一发
→每26s一发</t>
  </si>
  <si>
    <t>/</t>
  </si>
  <si>
    <t>獒犬</t>
  </si>
  <si>
    <t>单颗19
弹丸数量5
满喷95</t>
  </si>
  <si>
    <t>1.52s</t>
  </si>
  <si>
    <t>波塞克</t>
  </si>
  <si>
    <t>满弦</t>
  </si>
  <si>
    <t>2.28s</t>
  </si>
  <si>
    <t>充能手雷+满弦</t>
  </si>
  <si>
    <t>50
爆炸25</t>
  </si>
  <si>
    <t>40
爆炸25</t>
  </si>
  <si>
    <t>75
爆炸25</t>
  </si>
  <si>
    <t>三重狙击枪</t>
  </si>
  <si>
    <t>开镜</t>
  </si>
  <si>
    <t>单颗22
满喷66</t>
  </si>
  <si>
    <t>单颗33
满喷99</t>
  </si>
  <si>
    <t>6/7/8/10</t>
  </si>
  <si>
    <t>1.56s</t>
  </si>
  <si>
    <t>2.33s</t>
  </si>
  <si>
    <t>腰射（更快射速）</t>
  </si>
  <si>
    <t>1.68s</t>
  </si>
  <si>
    <t>3030连发枪</t>
  </si>
  <si>
    <t>首发满蓄力</t>
  </si>
  <si>
    <t>43~60</t>
  </si>
  <si>
    <t>37~51</t>
  </si>
  <si>
    <t>60~84</t>
  </si>
  <si>
    <t>1.72s</t>
  </si>
  <si>
    <t>2.13s</t>
  </si>
  <si>
    <t>和平捍卫者</t>
  </si>
  <si>
    <t>单颗11
满喷99</t>
  </si>
  <si>
    <t>1.06s</t>
  </si>
  <si>
    <t>2.12s</t>
  </si>
  <si>
    <t>紫枪栓+干扰器</t>
  </si>
  <si>
    <t>打甲单颗12
打甲满喷107</t>
  </si>
  <si>
    <t>克雷贝尔（空投）</t>
  </si>
  <si>
    <t>固定210</t>
  </si>
  <si>
    <t>0s</t>
  </si>
  <si>
    <t>2.15s</t>
  </si>
  <si>
    <t>长弓</t>
  </si>
  <si>
    <t>1.8x</t>
  </si>
  <si>
    <t>固定108</t>
  </si>
  <si>
    <t>6/8/10/12</t>
  </si>
  <si>
    <t>1.57s</t>
  </si>
  <si>
    <t>2.30s</t>
  </si>
  <si>
    <t>8/10/12/14</t>
  </si>
  <si>
    <t>充能步枪
（伤害随距离递增）</t>
  </si>
  <si>
    <t>连发模式</t>
  </si>
  <si>
    <t>＜55m：45
≥200m：66</t>
  </si>
  <si>
    <t>＜55m：41
≥200m：59</t>
  </si>
  <si>
    <t>1.80x</t>
  </si>
  <si>
    <t>＜55m：81
≥200m：118</t>
  </si>
  <si>
    <t>6/7/8/9</t>
  </si>
  <si>
    <t>3~4</t>
  </si>
  <si>
    <t>4~5</t>
  </si>
  <si>
    <t>1.78s~2.55s</t>
  </si>
  <si>
    <t>2.55s~3.31s</t>
  </si>
  <si>
    <t>90~132</t>
  </si>
  <si>
    <t>普通模式</t>
  </si>
  <si>
    <t>＜55m：75
≥200m：99</t>
  </si>
  <si>
    <t>＜55m：67
≥200m：89</t>
  </si>
  <si>
    <t>＜55m：135
≥200m：178</t>
  </si>
  <si>
    <t>2~3</t>
  </si>
  <si>
    <t>2.47s</t>
  </si>
  <si>
    <t>2.47s~4.10s</t>
  </si>
  <si>
    <t>4.10s</t>
  </si>
  <si>
    <t>75~99</t>
  </si>
  <si>
    <t>万蒂奇大招</t>
  </si>
  <si>
    <t>首发50
后续125</t>
  </si>
  <si>
    <t>首发75
后续187</t>
  </si>
  <si>
    <t>1.28s</t>
  </si>
  <si>
    <t>2.62s</t>
  </si>
  <si>
    <t>哨兵狙击枪</t>
  </si>
  <si>
    <t>充电</t>
  </si>
  <si>
    <t>4/5/6/7</t>
  </si>
  <si>
    <t>1.34s</t>
  </si>
  <si>
    <t>2.72s</t>
  </si>
  <si>
    <t>3.21s</t>
  </si>
  <si>
    <t>4.81s</t>
  </si>
  <si>
    <t>APEX数据可视化——命中率-TTK曲线（原始数据）（尚未更新）</t>
  </si>
  <si>
    <t>冲锋枪/手枪</t>
  </si>
  <si>
    <t>R99冲锋枪
（紫扩27）</t>
  </si>
  <si>
    <t>命中率</t>
  </si>
  <si>
    <t>紫甲TTK</t>
  </si>
  <si>
    <t>打出子弹</t>
  </si>
  <si>
    <t>CAR冲锋枪
（紫扩28）</t>
  </si>
  <si>
    <t>五连发猎兽
（紫扩35）</t>
  </si>
  <si>
    <t>全自动猎兽
（紫扩35）</t>
  </si>
  <si>
    <t>彩弹-电能冲锋枪
（紫扩27）</t>
  </si>
  <si>
    <t>电能冲锋枪
（紫扩29）</t>
  </si>
  <si>
    <t>转换者冲锋枪
（紫扩29）</t>
  </si>
  <si>
    <t>空投双持P2020
（固定22）</t>
  </si>
  <si>
    <t>单持P2020
（紫扩11）</t>
  </si>
  <si>
    <t>精英RE45
（紫扩27）</t>
  </si>
  <si>
    <t>霰弹枪</t>
  </si>
  <si>
    <t>双持莫桑比克
（紫栓）</t>
  </si>
  <si>
    <t>单持莫桑比克
（紫栓）</t>
  </si>
  <si>
    <t>EVA-8
（紫栓8发）</t>
  </si>
  <si>
    <t>彩弹-EVA-8
（紫栓9发）</t>
  </si>
  <si>
    <t>和平捍卫者
（紫栓）</t>
  </si>
  <si>
    <t>獒犬
（紫栓）</t>
  </si>
  <si>
    <t>彩弹-獒犬
（紫栓）</t>
  </si>
  <si>
    <t>步枪</t>
  </si>
  <si>
    <t>哈沃克
   （紫扩29）</t>
  </si>
  <si>
    <t>平行步枪
   （紫扩29）</t>
  </si>
  <si>
    <t>R301
   （紫扩31）</t>
  </si>
  <si>
    <t>复仇女神
   冷启动
   （紫扩32）</t>
  </si>
  <si>
    <t>复仇女神
   满预热
   （紫扩32）</t>
  </si>
  <si>
    <t>赫姆洛克
   （紫扩30）</t>
  </si>
  <si>
    <t>机枪</t>
  </si>
  <si>
    <t>普通专注
   （紫扩48）</t>
  </si>
  <si>
    <t>紫甲TTK（秒）</t>
  </si>
  <si>
    <t>涡轮专注
   （紫扩48）</t>
  </si>
  <si>
    <t>喷火轻机枪
   （紫扩50）</t>
  </si>
  <si>
    <t>彩弹-喷火轻机枪
   （紫扩52）</t>
  </si>
  <si>
    <t>普通暴走
   （紫扩40）</t>
  </si>
  <si>
    <t>充能暴走
   （紫扩40）</t>
  </si>
  <si>
    <t>L-star
   （紫扩28）</t>
  </si>
  <si>
    <t>神射手</t>
  </si>
  <si>
    <t>三重狙击枪
（固定12）</t>
  </si>
  <si>
    <t>G7侦查枪
（紫扩20）</t>
  </si>
  <si>
    <t>3030连发枪
（紫扩10）</t>
  </si>
  <si>
    <t>波赛克
（备弹40）</t>
  </si>
  <si>
    <t>狙击枪</t>
  </si>
  <si>
    <t>小帮手
（紫扩8）</t>
  </si>
  <si>
    <t>长弓狙击枪
（紫扩12）</t>
  </si>
  <si>
    <t>普通哨兵
（紫扩7）</t>
  </si>
  <si>
    <t>充电哨兵
（紫扩7）</t>
  </si>
  <si>
    <t>充能步枪
连发 200m
（紫扩9）</t>
  </si>
  <si>
    <t>请注意更新日期：APEX28上半赛季 2026年2月10日</t>
  </si>
  <si>
    <t>武器类型</t>
  </si>
  <si>
    <t>武器名称</t>
  </si>
  <si>
    <t>最大弹容量</t>
  </si>
  <si>
    <t xml:space="preserve"> 秒杀紫甲
所需子弹数</t>
  </si>
  <si>
    <t>备注</t>
  </si>
  <si>
    <t>冲锋枪</t>
  </si>
  <si>
    <t>1.89s</t>
  </si>
  <si>
    <t>RE45</t>
  </si>
  <si>
    <t xml:space="preserve"> 空投 C.A.R冲锋枪</t>
  </si>
  <si>
    <t>P2020（单持）</t>
  </si>
  <si>
    <t>三连发</t>
  </si>
  <si>
    <t>平行步枪</t>
  </si>
  <si>
    <t>L-star</t>
  </si>
  <si>
    <t>涡轮</t>
  </si>
  <si>
    <t>莫桑比克（双持）</t>
  </si>
  <si>
    <t>彩弹+紫枪栓</t>
  </si>
  <si>
    <t>莫桑比克（单持）</t>
  </si>
  <si>
    <t>波赛克</t>
  </si>
  <si>
    <t>充能手雷</t>
  </si>
  <si>
    <t>未充手雷</t>
  </si>
  <si>
    <t>腰射</t>
  </si>
  <si>
    <t>充能步枪（200m）</t>
  </si>
  <si>
    <t>连发
（计算首发蓄力）</t>
  </si>
  <si>
    <t>充能步枪（50m）</t>
  </si>
  <si>
    <t>注意更新时间：APEX27 上半赛季 2025年11月3日更新</t>
  </si>
  <si>
    <t>枪械类型</t>
  </si>
  <si>
    <t>切枪</t>
  </si>
  <si>
    <t>换弹</t>
  </si>
  <si>
    <t>移速</t>
  </si>
  <si>
    <t>2.06s</t>
  </si>
  <si>
    <t>双持P2020（空投）</t>
  </si>
  <si>
    <t>2.08s</t>
  </si>
  <si>
    <t>0.53s</t>
  </si>
  <si>
    <t>1.96s</t>
  </si>
  <si>
    <t>0.56s</t>
  </si>
  <si>
    <t>2.3s</t>
  </si>
  <si>
    <t>2.0s</t>
  </si>
  <si>
    <t>2.25s</t>
  </si>
  <si>
    <t>1.80s</t>
  </si>
  <si>
    <t>双持莫桑比克</t>
  </si>
  <si>
    <t>0.48s</t>
  </si>
  <si>
    <t>2.60s</t>
  </si>
  <si>
    <t>0.39s</t>
  </si>
  <si>
    <t>2.27s</t>
  </si>
  <si>
    <t>2.78s</t>
  </si>
  <si>
    <t>2.23s</t>
  </si>
  <si>
    <t>0.68s</t>
  </si>
  <si>
    <t>3.07s</t>
  </si>
  <si>
    <t>双发装填</t>
  </si>
  <si>
    <t>2.18s</t>
  </si>
  <si>
    <t>0.63s</t>
  </si>
  <si>
    <t>3.33s</t>
  </si>
  <si>
    <t>3.31s</t>
  </si>
  <si>
    <t>3.20s</t>
  </si>
  <si>
    <t>3.10s</t>
  </si>
  <si>
    <t>2.85s</t>
  </si>
  <si>
    <t>3.00s</t>
  </si>
  <si>
    <t>3.16s</t>
  </si>
  <si>
    <t>4.00s</t>
  </si>
  <si>
    <t>3.6s</t>
  </si>
  <si>
    <t>4.20s</t>
  </si>
  <si>
    <t>3.06s</t>
  </si>
  <si>
    <t>0.71s</t>
  </si>
  <si>
    <t>3s</t>
  </si>
  <si>
    <t>金枪托</t>
  </si>
  <si>
    <t>三重狙击枪（空投）</t>
  </si>
  <si>
    <t>3.4s</t>
  </si>
  <si>
    <t>6发：2.35s
10发：3.63s</t>
  </si>
  <si>
    <t>0.66s</t>
  </si>
  <si>
    <t>2.10s</t>
  </si>
  <si>
    <t>1.58s</t>
  </si>
  <si>
    <t>0.75s</t>
  </si>
  <si>
    <t>开镜74.0%
拉弓43.5%</t>
  </si>
  <si>
    <t>开镜85.0%
拉弓50.0%</t>
  </si>
  <si>
    <t>3.66s</t>
  </si>
  <si>
    <t>充能步枪</t>
  </si>
  <si>
    <t>4.6s</t>
  </si>
  <si>
    <t>4.1s</t>
  </si>
  <si>
    <t>L-star（极限）</t>
  </si>
  <si>
    <t>20/23/26/30
20/23/26/30</t>
  </si>
  <si>
    <t>20/23/25/28
20/23/26/30</t>
  </si>
  <si>
    <t>20/23/25/28
→20/23/26/30</t>
  </si>
  <si>
    <t xml:space="preserve"> C.A.R冲锋枪</t>
  </si>
  <si>
    <t>1.84秒（手动测）</t>
  </si>
  <si>
    <t>1.84秒*</t>
  </si>
  <si>
    <t>紫弹匣1.84秒
蓝弹匣1.41秒</t>
  </si>
  <si>
    <r>
      <rPr>
        <rFont val="Microsoft YaHei"/>
        <b val="0"/>
        <i val="0"/>
        <strike val="0"/>
        <color rgb="FF175CEB"/>
        <sz val="14"/>
        <u/>
      </rPr>
      <t>点击传送APEX可视化曲线网站：https://oldcucumber.github.io/Apex_TTK-HIT_Curve/</t>
    </r>
  </si>
  <si>
    <r>
      <t xml:space="preserve">TTK排名
</t>
    </r>
    <r>
      <rPr>
        <rFont val="Microsoft YaHei"/>
        <charset val="134"/>
        <family val="3"/>
        <sz val="11"/>
      </rPr>
      <t>（紫甲）</t>
    </r>
    <phoneticPr fontId="1" type="noConversion"/>
  </si>
  <si>
    <r>
      <rPr>
        <rFont val="Microsoft YaHei"/>
        <b val="1"/>
        <i val="0"/>
        <strike val="0"/>
        <color rgb="FF000000"/>
        <sz val="16"/>
        <u val="none"/>
      </rPr>
      <t>DFS</t>
    </r>
    <r>
      <rPr>
        <rFont val="Microsoft YaHei"/>
        <b val="0"/>
        <i val="0"/>
        <strike val="0"/>
        <color rgb="FF000000"/>
        <sz val="11"/>
        <u val="none"/>
      </rPr>
      <t xml:space="preserve">
第一秒内伤害</t>
    </r>
    <r>
      <rPr>
        <rFont val="Microsoft YaHei"/>
        <b val="0"/>
        <i val="0"/>
        <strike val="0"/>
        <color rgb="FF000000"/>
        <sz val="11"/>
        <u val="none"/>
      </rPr>
      <t xml:space="preserve">
（打紫甲胸口）</t>
    </r>
  </si>
  <si>
    <r>
      <rPr>
        <color rgb="FF175CEB"/>
        <sz val="16"/>
        <u/>
      </rPr>
      <t>点击传送：APEX可视化曲线网站</t>
    </r>
  </si>
  <si>
    <r>
      <rPr>
        <rFont val="Microsoft YaHei"/>
        <b val="1"/>
        <i val="0"/>
        <strike val="0"/>
        <color rgb="FF000000"/>
        <sz val="20"/>
        <u val="none"/>
      </rPr>
      <t>枪械容错率数据表</t>
    </r>
    <r>
      <rPr>
        <rFont val="Microsoft YaHei"/>
        <b val="0"/>
        <i val="0"/>
        <strike val="0"/>
        <color rgb="FF000000"/>
        <sz val="14"/>
        <u val="none"/>
      </rPr>
      <t xml:space="preserve">
by老葛你又在打电动</t>
    </r>
  </si>
  <si>
    <r>
      <rPr>
        <rFont val="Microsoft YaHei"/>
        <b val="0"/>
        <i val="0"/>
        <strike val="0"/>
        <color rgb="FF000000"/>
        <sz val="14"/>
        <u val="none"/>
      </rPr>
      <t>TTM排名</t>
    </r>
    <r>
      <rPr>
        <rFont val="Microsoft YaHei"/>
        <b val="0"/>
        <i val="0"/>
        <strike val="0"/>
        <color rgb="FF000000"/>
        <sz val="11"/>
        <u val="none"/>
      </rPr>
      <t xml:space="preserve">
（越长越好）</t>
    </r>
  </si>
  <si>
    <r>
      <rPr>
        <rFont val="Microsoft YaHei"/>
        <b val="0"/>
        <i val="0"/>
        <strike val="0"/>
        <color rgb="FF000000"/>
        <sz val="14"/>
        <u val="none"/>
      </rPr>
      <t xml:space="preserve">紫甲TTK
</t>
    </r>
    <r>
      <rPr>
        <rFont val="Microsoft YaHei"/>
        <b val="0"/>
        <i val="0"/>
        <strike val="0"/>
        <color rgb="FF000000"/>
        <sz val="10"/>
        <u val="none"/>
      </rPr>
      <t>秒杀紫甲所需时间</t>
    </r>
  </si>
  <si>
    <r>
      <rPr>
        <rFont val="Microsoft YaHei"/>
        <b val="0"/>
        <i val="0"/>
        <strike val="0"/>
        <color rgb="FF000000"/>
        <sz val="14"/>
        <u val="none"/>
      </rPr>
      <t>紫甲秒杀容错率</t>
    </r>
    <r>
      <rPr>
        <rFont val="Microsoft YaHei"/>
        <b val="0"/>
        <i val="0"/>
        <strike val="0"/>
        <color rgb="FF000000"/>
        <sz val="10"/>
        <u val="none"/>
      </rPr>
      <t xml:space="preserve">
一梭子能够马枪的子弹比例</t>
    </r>
  </si>
  <si>
    <r>
      <rPr>
        <rFont val="Microsoft YaHei"/>
        <b val="0"/>
        <i val="0"/>
        <strike val="0"/>
        <color rgb="FF000000"/>
        <sz val="14"/>
        <u val="none"/>
      </rPr>
      <t>紫甲TTM</t>
    </r>
    <r>
      <rPr>
        <rFont val="Microsoft YaHei"/>
        <b val="0"/>
        <i val="0"/>
        <strike val="0"/>
        <color rgb="FF000000"/>
        <sz val="10"/>
        <u val="none"/>
      </rPr>
      <t xml:space="preserve">
一梭子能够马枪的绝对时间</t>
    </r>
  </si>
  <si>
    <r>
      <rPr>
        <rFont val="Microsoft YaHei"/>
        <b val="1"/>
        <i val="0"/>
        <strike val="0"/>
        <color rgb="FF000000"/>
        <sz val="26"/>
        <u val="none"/>
      </rPr>
      <t>枪械灵活性数据表</t>
    </r>
    <r>
      <rPr>
        <rFont val="Microsoft YaHei"/>
        <b val="0"/>
        <i val="0"/>
        <strike val="0"/>
        <color rgb="FF000000"/>
        <sz val="14"/>
        <u val="none"/>
      </rPr>
      <t xml:space="preserve">
by老葛你又在打电动</t>
    </r>
  </si>
  <si>
    <r>
      <rPr>
        <rFont val="Microsoft YaHei"/>
        <b val="0"/>
        <i val="0"/>
        <strike val="0"/>
        <color rgb="FF000000"/>
        <sz val="12"/>
        <u val="none"/>
      </rPr>
      <t xml:space="preserve">掏枪时间
</t>
    </r>
    <r>
      <rPr>
        <rFont val="Microsoft YaHei"/>
        <b val="0"/>
        <i val="0"/>
        <strike val="0"/>
        <color rgb="FF000000"/>
        <sz val="10"/>
        <u val="none"/>
      </rPr>
      <t>尽量紫枪托</t>
    </r>
  </si>
  <si>
    <r>
      <rPr>
        <rFont val="Microsoft YaHei"/>
        <b val="0"/>
        <i val="0"/>
        <strike val="0"/>
        <color rgb="FF000000"/>
        <sz val="12"/>
        <u val="none"/>
      </rPr>
      <t>空仓换弹时间</t>
    </r>
    <r>
      <rPr>
        <rFont val="Microsoft YaHei"/>
        <b val="0"/>
        <i val="0"/>
        <strike val="0"/>
        <color rgb="FF000000"/>
        <sz val="10"/>
        <u val="none"/>
      </rPr>
      <t xml:space="preserve">
尽量紫枪托</t>
    </r>
  </si>
  <si>
    <r>
      <rPr>
        <rFont val="Microsoft YaHei"/>
        <charset val="134"/>
        <family val="3"/>
        <sz val="12"/>
      </rPr>
      <t>腰射移速</t>
    </r>
    <r>
      <rPr>
        <rFont val="Microsoft YaHei"/>
        <charset val="134"/>
        <family val="3"/>
        <sz val="10"/>
      </rPr>
      <t xml:space="preserve">
走路速度为100%</t>
    </r>
    <phoneticPr fontId="1" type="noConversion"/>
  </si>
  <si>
    <r>
      <rPr>
        <rFont val="Microsoft YaHei"/>
        <charset val="134"/>
        <family val="3"/>
        <sz val="12"/>
      </rPr>
      <t>举镜移速</t>
    </r>
    <r>
      <rPr>
        <rFont val="Microsoft YaHei"/>
        <charset val="134"/>
        <family val="3"/>
        <sz val="10"/>
      </rPr>
      <t xml:space="preserve">
走路速度为100%</t>
    </r>
    <phoneticPr fontId="1" type="noConversion"/>
  </si>
</sst>
</file>

<file path=xl/styles.xml><?xml version="1.0" encoding="utf-8"?>
<styleSheet xmlns="http://schemas.openxmlformats.org/spreadsheetml/2006/main">
  <numFmts count="6">
    <numFmt numFmtId="300" formatCode="yyyy/m/d;@"/>
    <numFmt numFmtId="301" formatCode="0.00_ "/>
    <numFmt numFmtId="302" formatCode="0.00秒"/>
    <numFmt numFmtId="303" formatCode="0.0%"/>
    <numFmt numFmtId="304" formatCode="General"/>
    <numFmt numFmtId="305" formatCode="0%"/>
  </numFmts>
  <fonts count="76">
    <font>
      <name val="等线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charset val="134"/>
      <family val="3"/>
      <b val="1"/>
      <sz val="28"/>
    </font>
    <font>
      <name val="金山云技术体"/>
      <charset val="134"/>
      <family val="3"/>
      <sz val="20"/>
    </font>
    <font>
      <name val="Microsoft YaHei"/>
      <b val="1"/>
      <sz val="28"/>
    </font>
    <font>
      <name val="Microsoft YaHei"/>
      <charset val="134"/>
      <family val="3"/>
      <b val="1"/>
      <color rgb="FFFF0000"/>
      <sz val="14"/>
    </font>
    <font>
      <name val="Microsoft YaHei"/>
      <b val="1"/>
      <color rgb="FFFF0000"/>
      <sz val="14"/>
    </font>
    <font>
      <name val="Microsoft YaHei"/>
      <charset val="134"/>
      <family val="3"/>
      <sz val="14"/>
    </font>
    <font>
      <name val="Microsoft YaHei"/>
      <sz val="14"/>
    </font>
    <font>
      <name val="Microsoft YaHei"/>
      <charset val="134"/>
      <family val="3"/>
      <b val="1"/>
      <sz val="14"/>
    </font>
    <font>
      <name val="Microsoft YaHei"/>
      <b val="1"/>
      <sz val="14"/>
    </font>
    <font>
      <charset val="134"/>
      <family val="3"/>
      <sz val="12"/>
    </font>
    <font>
      <charset val="134"/>
      <family val="3"/>
      <b val="1"/>
      <sz val="12"/>
    </font>
    <font>
      <b val="1"/>
      <sz val="12"/>
    </font>
    <font>
      <name val="金山云技术体"/>
      <charset val="134"/>
      <family val="3"/>
      <sz val="14"/>
    </font>
    <font>
      <name val="Microsoft YaHei"/>
      <sz val="12"/>
    </font>
    <font>
      <name val="金山云技术体"/>
      <charset val="134"/>
      <family val="3"/>
      <sz val="12"/>
    </font>
    <font>
      <name val="Microsoft YaHei"/>
      <charset val="134"/>
      <family val="3"/>
      <sz val="12"/>
    </font>
    <font>
      <name val="Microsoft YaHei"/>
      <charset val="134"/>
      <family val="3"/>
      <color rgb="FF000000"/>
      <sz val="16"/>
    </font>
    <font>
      <name val="Microsoft YaHei"/>
      <charset val="134"/>
      <family val="3"/>
      <color rgb="FF000000"/>
      <sz val="11"/>
    </font>
    <font>
      <name val="金山云技术体"/>
      <charset val="134"/>
      <family val="3"/>
      <sz val="11"/>
    </font>
    <font>
      <name val="Microsoft YaHei"/>
      <charset val="134"/>
      <family val="3"/>
      <b val="1"/>
      <color rgb="FF000000"/>
      <sz val="11"/>
    </font>
    <font>
      <name val="Microsoft YaHei"/>
      <b val="1"/>
      <color rgb="FF000000"/>
      <sz val="14"/>
    </font>
    <font>
      <name val="Microsoft YaHei"/>
      <charset val="134"/>
      <family val="3"/>
      <color rgb="FF000000"/>
      <sz val="12"/>
    </font>
    <font>
      <charset val="134"/>
      <family val="3"/>
    </font>
    <font>
      <name val="Microsoft YaHei"/>
      <color rgb="FF000000"/>
      <sz val="12"/>
    </font>
    <font/>
    <font>
      <name val="Microsoft YaHei"/>
      <charset val="134"/>
      <family val="3"/>
      <color rgb="FF000000"/>
    </font>
    <font>
      <name val="金山云技术体"/>
      <charset val="134"/>
      <family val="3"/>
      <color rgb="FFFF0000"/>
      <sz val="11"/>
    </font>
    <font>
      <name val="Microsoft YaHei"/>
      <charset val="134"/>
      <family val="3"/>
      <color rgb="FFFF0000"/>
      <sz val="16"/>
    </font>
    <font>
      <name val="Microsoft YaHei"/>
      <color rgb="FF000000"/>
      <sz val="11"/>
    </font>
    <font>
      <name val="金山云技术体"/>
      <charset val="134"/>
      <family val="3"/>
      <sz val="16"/>
    </font>
    <font>
      <name val="金山云技术体"/>
      <color theme="1"/>
      <sz val="11"/>
    </font>
    <font>
      <name val="Microsoft YaHei"/>
      <color rgb="FF000000"/>
      <sz val="16"/>
    </font>
    <font>
      <name val="金山云技术体"/>
      <color rgb="FFFF0000"/>
      <sz val="11"/>
    </font>
    <font>
      <name val="金山云技术体"/>
      <color rgb="FF00B050"/>
      <sz val="16"/>
    </font>
    <font>
      <name val="金山云技术体"/>
      <sz val="11"/>
    </font>
    <font>
      <name val="Microsoft YaHei"/>
      <color rgb="FFFF0000"/>
      <sz val="12"/>
    </font>
    <font>
      <name val="金山云技术体"/>
      <charset val="134"/>
      <family val="3"/>
      <color rgb="FF00B050"/>
      <sz val="11"/>
    </font>
    <font>
      <name val="金山云技术体"/>
      <charset val="134"/>
      <family val="3"/>
      <color rgb="FFFF0000"/>
      <sz val="16"/>
    </font>
    <font>
      <name val="金山云技术体"/>
      <charset val="134"/>
      <family val="3"/>
      <color theme="1"/>
      <sz val="11"/>
    </font>
    <font>
      <name val="Microsoft YaHei"/>
      <color rgb="FF000000"/>
    </font>
    <font>
      <name val="金山云技术体"/>
      <charset val="134"/>
      <family val="3"/>
      <color rgb="FFFF0000"/>
      <sz val="10"/>
    </font>
    <font>
      <name val="Microsoft YaHei"/>
      <b val="1"/>
      <color rgb="FF000000"/>
      <sz val="12"/>
    </font>
    <font/>
    <font>
      <name val="Microsoft YaHei"/>
      <charset val="134"/>
      <family val="3"/>
      <color rgb="FFFF0000"/>
      <sz val="12"/>
    </font>
    <font>
      <b val="1"/>
      <sz val="20"/>
    </font>
    <font>
      <b val="1"/>
      <color rgb="FFFF0000"/>
      <sz val="16"/>
    </font>
    <font>
      <name val="等线"/>
      <color theme="1"/>
      <sz val="11"/>
    </font>
    <font/>
    <font>
      <name val="等线"/>
    </font>
    <font>
      <name val="等线"/>
      <sz val="11"/>
    </font>
    <font>
      <name val="等线"/>
      <color theme="1"/>
      <sz val="11"/>
    </font>
    <font>
      <name val="Microsoft YaHei"/>
      <charset val="134"/>
      <family val="3"/>
      <color rgb="FF000000"/>
      <sz val="20"/>
    </font>
    <font>
      <name val="Microsoft YaHei"/>
      <charset val="134"/>
      <family val="3"/>
      <b val="1"/>
      <color rgb="FF000000"/>
      <sz val="14"/>
    </font>
    <font>
      <name val="Microsoft YaHei"/>
      <charset val="134"/>
      <family val="3"/>
      <color rgb="FF000000"/>
      <sz val="14"/>
    </font>
    <font>
      <name val="Microsoft YaHei"/>
      <color theme="1"/>
      <sz val="11"/>
    </font>
    <font>
      <name val="金山云技术体"/>
      <sz val="16"/>
    </font>
    <font>
      <name val="金山云技术体"/>
      <sz val="11"/>
    </font>
    <font>
      <name val="金山云技术体"/>
      <sz val="16"/>
    </font>
    <font>
      <name val="Microsoft YaHei"/>
      <charset val="134"/>
      <family val="3"/>
      <color rgb="FF000000"/>
      <sz val="16"/>
    </font>
    <font>
      <name val="Microsoft YaHei"/>
      <sz val="11"/>
    </font>
    <font>
      <name val="Microsoft YaHei"/>
      <sz val="11"/>
    </font>
    <font>
      <name val="Microsoft YaHei"/>
      <charset val="134"/>
      <family val="3"/>
      <color theme="1"/>
      <sz val="11"/>
    </font>
    <font>
      <name val="Microsoft YaHei"/>
      <charset val="134"/>
      <family val="3"/>
      <sz val="20"/>
    </font>
    <font>
      <name val="Microsoft YaHei"/>
      <charset val="134"/>
      <family val="3"/>
      <sz val="11"/>
    </font>
    <font>
      <name val="Microsoft YaHei"/>
      <charset val="134"/>
      <family val="3"/>
      <sz val="16"/>
    </font>
    <font>
      <name val="Microsoft YaHei"/>
      <charset val="134"/>
      <family val="3"/>
      <b val="1"/>
      <sz val="11"/>
    </font>
    <font>
      <name val="Microsoft YaHei"/>
      <charset val="134"/>
      <family val="3"/>
      <color rgb="FF00B050"/>
      <sz val="11"/>
    </font>
    <font>
      <name val="金山云技术体"/>
      <color rgb="FF000000"/>
      <sz val="11"/>
    </font>
    <font>
      <name val="Microsoft YaHei"/>
      <color rgb="FF00B050"/>
      <sz val="11"/>
    </font>
    <font>
      <name val="Microsoft YaHei"/>
      <sz val="16"/>
    </font>
    <font>
      <sz val="12"/>
    </font>
    <font>
      <name val="Microsoft YaHei"/>
    </font>
    <font>
      <name val="等线"/>
      <family val="2"/>
      <color theme="1"/>
      <sz val="11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D8D8D8"/>
      </patternFill>
    </fill>
    <fill>
      <patternFill patternType="solid">
        <fgColor theme="7" tint="0.599994"/>
        <bgColor indexed="64"/>
      </patternFill>
    </fill>
    <fill>
      <patternFill patternType="solid">
        <fgColor rgb="FFFFEEAD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C3EAD5"/>
      </patternFill>
    </fill>
    <fill/>
    <fill>
      <patternFill patternType="solid">
        <fgColor rgb="FFFFC9C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D8D8D8"/>
      </patternFill>
    </fill>
    <fill>
      <patternFill patternType="solid">
        <fgColor rgb="FFD8D8D8"/>
      </patternFill>
    </fill>
    <fill>
      <patternFill patternType="solid">
        <fgColor rgb="FFC3EAD5"/>
      </patternFill>
    </fill>
    <fill/>
    <fill>
      <patternFill patternType="none"/>
    </fill>
    <fill/>
    <fill>
      <patternFill patternType="solid">
        <fgColor rgb="FFFFEEAD"/>
      </patternFill>
    </fill>
    <fill>
      <patternFill patternType="none"/>
    </fill>
    <fill>
      <patternFill patternType="none"/>
    </fill>
    <fill>
      <patternFill patternType="solid">
        <fgColor rgb="FF8CDDFA"/>
      </patternFill>
    </fill>
    <fill>
      <patternFill patternType="solid">
        <fgColor rgb="FFFFC9C7"/>
      </patternFill>
    </fill>
    <fill>
      <patternFill patternType="solid">
        <fgColor rgb="FFFFE699"/>
      </patternFill>
    </fill>
    <fill>
      <patternFill patternType="solid">
        <fgColor theme="7" tint="0.599994"/>
        <bgColor indexed="64"/>
      </patternFill>
    </fill>
    <fill>
      <patternFill patternType="solid">
        <fgColor rgb="FFBFBFBF"/>
      </patternFill>
    </fill>
    <fill>
      <patternFill patternType="solid">
        <fgColor rgb="FFFFF9E3"/>
      </patternFill>
    </fill>
    <fill>
      <patternFill patternType="solid">
        <fgColor rgb="FFFFF9E3"/>
      </patternFill>
    </fill>
  </fills>
  <borders count="5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 style="thin">
        <color rgb="FF7F7F7F"/>
      </right>
      <top style="thin">
        <color rgb="FF7F7F7F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  <bottom/>
    </border>
    <border diagonalUp="1" diagonalDown="1">
      <left/>
      <right/>
      <top/>
      <bottom/>
      <diagonal/>
    </border>
    <border diagonalUp="1"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top style="thin">
        <color rgb="FF000000"/>
      </top>
      <bottom style="thin">
        <color rgb="FF000000"/>
      </bottom>
    </border>
    <border diagonalUp="1" diagonalDown="1"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/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/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right style="thin">
        <color rgb="FF000000"/>
      </right>
      <top/>
      <bottom style="thin">
        <color rgb="FF000000"/>
      </bottom>
    </border>
    <border>
      <left/>
      <top/>
    </border>
    <border>
      <left/>
      <top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diagonal/>
    </border>
    <border>
      <left style="thin">
        <color rgb="FF000000"/>
      </left>
      <top style="thin">
        <color rgb="FF000000"/>
      </top>
      <bottom style="thin">
        <color rgb="FF000000"/>
      </bottom>
      <diagonal/>
    </border>
    <border>
      <left style="thin">
        <color rgb="FF000000"/>
      </left>
      <top style="thin">
        <color rgb="FF000000"/>
      </top>
      <diagonal/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  <diagonal/>
    </border>
    <border>
      <top/>
      <bottom/>
      <diagonal/>
    </border>
    <border>
      <diagonal/>
    </border>
  </borders>
  <cellStyleXfs>
    <xf numFmtId="304" fontId="75" fillId="0" borderId="50" xfId="0"/>
  </cellStyleXfs>
  <cellXfs count="62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0" fontId="3" fillId="2" borderId="1" xfId="0" applyNumberFormat="1" applyFont="1" applyFill="1" applyBorder="1" applyAlignment="1">
      <alignment horizontal="center" vertical="center" wrapText="1"/>
    </xf>
    <xf numFmtId="304" fontId="4" fillId="3" borderId="1" xfId="0" applyFont="1" applyFill="1" applyBorder="1" applyAlignment="1">
      <alignment horizontal="center" vertical="center" wrapText="1"/>
    </xf>
    <xf numFmtId="304" fontId="4" fillId="3" borderId="2" xfId="0" applyFont="1" applyFill="1" applyBorder="1" applyAlignment="1">
      <alignment horizontal="center" vertical="center" wrapText="1"/>
    </xf>
    <xf numFmtId="0" fontId="5" fillId="4" borderId="2" xfId="0" applyNumberFormat="1" applyFont="1" applyFill="1" applyBorder="1" applyAlignment="1">
      <alignment horizontal="center" vertical="center" wrapText="1"/>
    </xf>
    <xf fontId="6" fillId="2" borderId="2" xfId="0">
      <alignment horizontal="center" vertical="center" wrapText="1"/>
    </xf>
    <xf fontId="0" fillId="0" borderId="2" xfId="0"/>
    <xf fontId="7" fillId="4" borderId="2" xfId="0">
      <alignment horizontal="center" vertical="center" wrapText="1"/>
    </xf>
    <xf fontId="8" fillId="2" borderId="2" xfId="0">
      <alignment horizontal="center" vertical="center" wrapText="1"/>
    </xf>
    <xf fontId="9" fillId="4" borderId="2" xfId="0">
      <alignment horizontal="center" vertical="center" wrapText="1"/>
    </xf>
    <xf fontId="10" fillId="2" borderId="2" xfId="0">
      <alignment horizontal="center" vertical="center" wrapText="1"/>
    </xf>
    <xf fontId="10" fillId="2" borderId="2" xfId="0">
      <alignment horizontal="center" vertical="center"/>
    </xf>
    <xf fontId="10" fillId="2" borderId="3" xfId="0">
      <alignment horizontal="center" vertical="center"/>
    </xf>
    <xf fontId="0" fillId="0" borderId="4" xfId="0"/>
    <xf fontId="11" fillId="4" borderId="4" xfId="0">
      <alignment horizontal="center" vertical="center"/>
    </xf>
    <xf fontId="0" fillId="0" borderId="5" xfId="0"/>
    <xf numFmtId="300" fontId="12" fillId="2" borderId="6" xfId="0" applyNumberFormat="1" applyFont="1" applyFill="1" applyBorder="1" applyAlignment="1">
      <alignment horizontal="left" vertical="center" wrapText="1" indent="2"/>
    </xf>
    <xf fontId="0" fillId="0" borderId="6" xfId="0"/>
    <xf numFmtId="0" fontId="12" fillId="2" borderId="6" xfId="0" applyNumberFormat="1" applyFont="1" applyFill="1" applyBorder="1" applyAlignment="1">
      <alignment horizontal="left" vertical="center" wrapText="1" indent="2"/>
    </xf>
    <xf numFmtId="0" fontId="13" fillId="2" borderId="6" xfId="0">
      <alignment horizontal="left" vertical="center" wrapText="1" indent="2"/>
    </xf>
    <xf numFmtId="0" fontId="14" fillId="4" borderId="6" xfId="0">
      <alignment horizontal="left" vertical="center" wrapText="1" indent="2"/>
    </xf>
    <xf numFmtId="304" fontId="8" fillId="2" borderId="7" xfId="0" applyFont="1" applyFill="1" applyBorder="1" applyAlignment="1">
      <alignment horizontal="center" vertical="center" wrapText="1"/>
    </xf>
    <xf fontId="8" fillId="2" borderId="7" xfId="0">
      <alignment horizontal="center" vertical="center" wrapText="1"/>
    </xf>
    <xf fontId="15" fillId="3" borderId="7" xfId="0">
      <alignment horizontal="center" vertical="center" wrapText="1"/>
    </xf>
    <xf fontId="8" fillId="2" borderId="7" xfId="0">
      <alignment horizontal="center" vertical="center"/>
    </xf>
    <xf fontId="15" fillId="3" borderId="7" xfId="0">
      <alignment horizontal="center" vertical="center"/>
    </xf>
    <xf fontId="10" fillId="2" borderId="7" xfId="0">
      <alignment horizontal="center" vertical="center" wrapText="1"/>
    </xf>
    <xf fontId="16" fillId="2" borderId="7" xfId="0">
      <alignment horizontal="center" vertical="center" wrapText="1"/>
    </xf>
    <xf numFmtId="0" fontId="8" fillId="2" borderId="7" xfId="0">
      <alignment horizontal="center" vertical="center" wrapText="1"/>
    </xf>
    <xf numFmtId="304" fontId="15" fillId="3" borderId="8" xfId="0" applyFont="1" applyFill="1" applyBorder="1" applyAlignment="1">
      <alignment horizontal="center" vertical="center" wrapText="1"/>
    </xf>
    <xf numFmtId="304" fontId="8" fillId="2" borderId="8" xfId="0" applyFont="1" applyFill="1" applyBorder="1" applyAlignment="1">
      <alignment horizontal="center" vertical="center" wrapText="1"/>
    </xf>
    <xf numFmtId="304" fontId="17" fillId="3" borderId="7" xfId="0" applyFont="1" applyFill="1" applyBorder="1" applyAlignment="1">
      <alignment horizontal="center" vertical="center" wrapText="1"/>
    </xf>
    <xf numFmtId="304" fontId="15" fillId="3" borderId="8" xfId="0" applyFont="1" applyFill="1" applyBorder="1" applyAlignment="1">
      <alignment horizontal="center" vertical="center"/>
    </xf>
    <xf numFmtId="304" fontId="18" fillId="2" borderId="8" xfId="0" applyFont="1" applyFill="1" applyBorder="1" applyAlignment="1">
      <alignment horizontal="center" vertical="center" wrapText="1"/>
    </xf>
    <xf fontId="0" fillId="0" borderId="7" xfId="0"/>
    <xf numFmtId="304" fontId="17" fillId="3" borderId="8" xfId="0" applyFont="1" applyFill="1" applyBorder="1" applyAlignment="1">
      <alignment horizontal="center" vertical="center" wrapText="1"/>
    </xf>
    <xf numFmtId="304" fontId="19" fillId="5" borderId="8" xfId="0" applyFont="1" applyFill="1" applyBorder="1" applyAlignment="1">
      <alignment horizontal="center" vertical="center"/>
    </xf>
    <xf numFmtId="304" fontId="20" fillId="5" borderId="8" xfId="0" applyFont="1" applyFill="1" applyBorder="1" applyAlignment="1">
      <alignment horizontal="center" vertical="center"/>
    </xf>
    <xf numFmtId="304" fontId="21" fillId="6" borderId="8" xfId="0" applyFont="1" applyFill="1" applyBorder="1" applyAlignment="1">
      <alignment horizontal="center" vertical="center"/>
    </xf>
    <xf numFmtId="1" fontId="20" fillId="5" borderId="8" xfId="0" applyNumberFormat="1" applyFont="1" applyFill="1" applyBorder="1" applyAlignment="1">
      <alignment horizontal="center" vertical="center"/>
    </xf>
    <xf numFmtId="304" fontId="22" fillId="5" borderId="8" xfId="0" applyFont="1" applyFill="1" applyBorder="1" applyAlignment="1">
      <alignment horizontal="center" vertical="center" wrapText="1"/>
    </xf>
    <xf numFmtId="304" fontId="20" fillId="5" borderId="8" xfId="0" applyFont="1" applyFill="1" applyBorder="1" applyAlignment="1">
      <alignment horizontal="center" vertical="center" wrapText="1"/>
    </xf>
    <xf numFmtId="2" fontId="20" fillId="5" borderId="8" xfId="0" applyNumberFormat="1" applyFont="1" applyFill="1" applyBorder="1" applyAlignment="1">
      <alignment horizontal="center" vertical="center" wrapText="1"/>
    </xf>
    <xf numFmtId="304" fontId="23" fillId="5" borderId="7" xfId="0" applyFont="1" applyFill="1" applyBorder="1" applyAlignment="1">
      <alignment horizontal="center" vertical="center" wrapText="1"/>
    </xf>
    <xf numFmtId="304" fontId="24" fillId="5" borderId="8" xfId="0" applyFont="1" applyFill="1" applyBorder="1" applyAlignment="1">
      <alignment horizontal="left" vertical="center" indent="2"/>
    </xf>
    <xf fontId="19" fillId="5" borderId="7" xfId="0">
      <alignment horizontal="center" vertical="center"/>
    </xf>
    <xf numFmtId="304" fontId="20" fillId="7" borderId="7" xfId="0" applyFont="1" applyFill="1" applyBorder="1" applyAlignment="1">
      <alignment horizontal="center" vertical="center"/>
    </xf>
    <xf fontId="25" fillId="8" borderId="7" xfId="0"/>
    <xf fontId="20" fillId="5" borderId="7" xfId="0">
      <alignment horizontal="center" vertical="center"/>
    </xf>
    <xf numFmtId="304" fontId="20" fillId="5" borderId="7" xfId="0" applyFont="1" applyFill="1" applyBorder="1" applyAlignment="1">
      <alignment horizontal="center" vertical="center" wrapText="1"/>
    </xf>
    <xf numFmtId="304" fontId="20" fillId="5" borderId="7" xfId="0" applyFont="1" applyFill="1" applyBorder="1" applyAlignment="1">
      <alignment horizontal="center" vertical="center"/>
    </xf>
    <xf numFmtId="0" fontId="20" fillId="5" borderId="7" xfId="0" applyNumberFormat="1" applyFont="1" applyFill="1" applyBorder="1" applyAlignment="1">
      <alignment horizontal="center" vertical="center"/>
    </xf>
    <xf numFmtId="0" fontId="20" fillId="5" borderId="7" xfId="0" applyNumberFormat="1" applyFont="1" applyFill="1" applyBorder="1" applyAlignment="1">
      <alignment horizontal="center" vertical="center" wrapText="1"/>
    </xf>
    <xf fontId="23" fillId="5" borderId="7" xfId="0">
      <alignment horizontal="center" vertical="center" wrapText="1"/>
    </xf>
    <xf numFmtId="0" fontId="26" fillId="7" borderId="7" xfId="0" applyNumberFormat="1" applyFont="1" applyFill="1" applyBorder="1" applyAlignment="1">
      <alignment horizontal="left" vertical="center" wrapText="1" indent="2"/>
    </xf>
    <xf fontId="20" fillId="5" borderId="7" xfId="0">
      <alignment horizontal="center" vertical="center" wrapText="1"/>
    </xf>
    <xf numFmtId="0" fontId="20" fillId="5" borderId="7" xfId="0">
      <alignment horizontal="center" vertical="center"/>
    </xf>
    <xf numFmtId="0" fontId="20" fillId="5" borderId="7" xfId="0">
      <alignment horizontal="center" vertical="center" wrapText="1"/>
    </xf>
    <xf fontId="27" fillId="8" borderId="7" xfId="0"/>
    <xf numFmtId="0" fontId="19" fillId="5" borderId="7" xfId="0">
      <alignment horizontal="center" vertical="center"/>
    </xf>
    <xf numFmtId="0" fontId="28" fillId="9" borderId="7" xfId="0" applyNumberFormat="1" applyFont="1" applyFill="1" applyBorder="1" applyAlignment="1">
      <alignment horizontal="center" vertical="center" wrapText="1"/>
    </xf>
    <xf numFmtId="0" fontId="29" fillId="6" borderId="7" xfId="0" applyNumberFormat="1" applyFont="1" applyFill="1" applyBorder="1" applyAlignment="1">
      <alignment horizontal="center" vertical="center"/>
    </xf>
    <xf numFmtId="0" fontId="23" fillId="5" borderId="7" xfId="0">
      <alignment horizontal="center" vertical="center" wrapText="1"/>
    </xf>
    <xf numFmtId="0" fontId="26" fillId="9" borderId="7" xfId="0" applyNumberFormat="1" applyFont="1" applyFill="1" applyBorder="1" applyAlignment="1">
      <alignment horizontal="left" vertical="center" wrapText="1" indent="2"/>
    </xf>
    <xf numFmtId="0" fontId="30" fillId="5" borderId="7" xfId="0">
      <alignment horizontal="center" vertical="center"/>
    </xf>
    <xf fontId="20" fillId="9" borderId="7" xfId="0">
      <alignment horizontal="center" vertical="center"/>
    </xf>
    <xf fontId="20" fillId="9" borderId="7" xfId="0">
      <alignment horizontal="center" vertical="center" wrapText="1"/>
    </xf>
    <xf numFmtId="0" fontId="31" fillId="5" borderId="7" xfId="0">
      <alignment horizontal="center" vertical="center" wrapText="1"/>
    </xf>
    <xf numFmtId="0" fontId="32" fillId="6" borderId="7" xfId="0" applyNumberFormat="1" applyFont="1" applyFill="1" applyBorder="1" applyAlignment="1">
      <alignment horizontal="center" vertical="center"/>
    </xf>
    <xf numFmtId="0" fontId="21" fillId="6" borderId="7" xfId="0" applyNumberFormat="1" applyFont="1" applyFill="1" applyBorder="1" applyAlignment="1">
      <alignment horizontal="center" vertical="center"/>
    </xf>
    <xf numFmtId="0" fontId="21" fillId="6" borderId="7" xfId="0" applyNumberFormat="1" applyFont="1" applyFill="1" applyBorder="1" applyAlignment="1">
      <alignment horizontal="center" vertical="center" wrapText="1"/>
    </xf>
    <xf fontId="23" fillId="5" borderId="7" xfId="0">
      <alignment horizontal="center" vertical="center"/>
    </xf>
    <xf numFmtId="0" fontId="33" fillId="6" borderId="7" xfId="0" applyNumberFormat="1" applyFont="1" applyFill="1" applyBorder="1" applyAlignment="1">
      <alignment horizontal="center" vertical="center"/>
    </xf>
    <xf numFmtId="0" fontId="26" fillId="5" borderId="7" xfId="0">
      <alignment horizontal="left" vertical="center" wrapText="1" indent="2"/>
    </xf>
    <xf fontId="34" fillId="9" borderId="7" xfId="0">
      <alignment horizontal="center" vertical="center"/>
    </xf>
    <xf numFmtId="304" fontId="31" fillId="9" borderId="7" xfId="0" applyFont="1" applyFill="1" applyBorder="1" applyAlignment="1">
      <alignment horizontal="center" vertical="center"/>
    </xf>
    <xf numFmtId="0" fontId="31" fillId="2" borderId="7" xfId="0" applyNumberFormat="1" applyFont="1" applyFill="1" applyBorder="1" applyAlignment="1">
      <alignment horizontal="center" vertical="center"/>
    </xf>
    <xf fontId="31" fillId="2" borderId="7" xfId="0">
      <alignment horizontal="center" vertical="center"/>
    </xf>
    <xf numFmtId="304" fontId="31" fillId="5" borderId="7" xfId="0" applyFont="1" applyFill="1" applyBorder="1" applyAlignment="1">
      <alignment horizontal="center" vertical="center"/>
    </xf>
    <xf numFmtId="304" fontId="31" fillId="2" borderId="7" xfId="0" applyFont="1" applyFill="1" applyBorder="1" applyAlignment="1">
      <alignment horizontal="center" vertical="center"/>
    </xf>
    <xf numFmtId="0" fontId="31" fillId="2" borderId="7" xfId="0">
      <alignment horizontal="center" vertical="center"/>
    </xf>
    <xf fontId="31" fillId="2" borderId="7" xfId="0">
      <alignment horizontal="center" vertical="center" wrapText="1"/>
    </xf>
    <xf fontId="23" fillId="2" borderId="7" xfId="0">
      <alignment horizontal="center" vertical="center"/>
    </xf>
    <xf numFmtId="0" fontId="26" fillId="9" borderId="7" xfId="0">
      <alignment horizontal="left" vertical="center" wrapText="1" indent="2"/>
    </xf>
    <xf fontId="31" fillId="10" borderId="7" xfId="0">
      <alignment horizontal="center" vertical="center"/>
    </xf>
    <xf fontId="31" fillId="9" borderId="7" xfId="0">
      <alignment horizontal="center" vertical="center"/>
    </xf>
    <xf numFmtId="0" fontId="31" fillId="9" borderId="7" xfId="0">
      <alignment horizontal="center" vertical="center"/>
    </xf>
    <xf fontId="31" fillId="5" borderId="7" xfId="0">
      <alignment horizontal="center" vertical="center" wrapText="1"/>
    </xf>
    <xf fontId="23" fillId="9" borderId="7" xfId="0">
      <alignment horizontal="center" vertical="center"/>
    </xf>
    <xf numFmtId="0" fontId="34" fillId="5" borderId="7" xfId="0" applyNumberFormat="1" applyFont="1" applyFill="1" applyBorder="1" applyAlignment="1">
      <alignment horizontal="center" vertical="center"/>
    </xf>
    <xf numFmtId="0" fontId="35" fillId="6" borderId="7" xfId="0" applyNumberFormat="1" applyFont="1" applyFill="1" applyBorder="1" applyAlignment="1">
      <alignment horizontal="center" vertical="center"/>
    </xf>
    <xf numFmtId="0" fontId="31" fillId="5" borderId="7" xfId="0" applyNumberFormat="1" applyFont="1" applyFill="1" applyBorder="1" applyAlignment="1">
      <alignment horizontal="center" vertical="center"/>
    </xf>
    <xf fontId="31" fillId="5" borderId="7" xfId="0">
      <alignment horizontal="center" vertical="center"/>
    </xf>
    <xf numFmtId="0" fontId="31" fillId="5" borderId="7" xfId="0">
      <alignment horizontal="center" vertical="center"/>
    </xf>
    <xf numFmtId="0" fontId="31" fillId="5" borderId="7" xfId="0" applyNumberFormat="1" applyFont="1" applyFill="1" applyBorder="1" applyAlignment="1">
      <alignment horizontal="center" vertical="center" wrapText="1"/>
    </xf>
    <xf numFmtId="304" fontId="31" fillId="5" borderId="7" xfId="0" applyFont="1" applyFill="1" applyBorder="1" applyAlignment="1">
      <alignment horizontal="center" vertical="center" wrapText="1"/>
    </xf>
    <xf numFmtId="0" fontId="26" fillId="11" borderId="7" xfId="0">
      <alignment horizontal="left" vertical="center" wrapText="1" indent="2"/>
    </xf>
    <xf numFmtId="0" fontId="36" fillId="6" borderId="7" xfId="0" applyNumberFormat="1" applyFont="1" applyFill="1" applyBorder="1" applyAlignment="1">
      <alignment horizontal="center" vertical="center"/>
    </xf>
    <xf numFmtId="0" fontId="37" fillId="6" borderId="7" xfId="0" applyNumberFormat="1" applyFont="1" applyFill="1" applyBorder="1" applyAlignment="1">
      <alignment horizontal="center" vertical="center"/>
    </xf>
    <xf numFmtId="0" fontId="23" fillId="5" borderId="7" xfId="0">
      <alignment horizontal="center" vertical="center"/>
    </xf>
    <xf numFmtId="0" fontId="33" fillId="12" borderId="7" xfId="0" applyNumberFormat="1" applyFont="1" applyFill="1" applyBorder="1" applyAlignment="1">
      <alignment horizontal="center" vertical="center"/>
    </xf>
    <xf numFmtId="0" fontId="19" fillId="5" borderId="8" xfId="0">
      <alignment horizontal="center" vertical="center"/>
    </xf>
    <xf numFmtId="0" fontId="20" fillId="5" borderId="8" xfId="0">
      <alignment horizontal="center" vertical="center" wrapText="1"/>
    </xf>
    <xf numFmtId="0" fontId="20" fillId="5" borderId="8" xfId="0">
      <alignment horizontal="center" vertical="center"/>
    </xf>
    <xf fontId="19" fillId="5" borderId="8" xfId="0">
      <alignment horizontal="center" vertical="center"/>
    </xf>
    <xf fontId="20" fillId="5" borderId="8" xfId="0">
      <alignment horizontal="center" vertical="center"/>
    </xf>
    <xf numFmtId="0" fontId="24" fillId="5" borderId="8" xfId="0" applyNumberFormat="1" applyFont="1" applyFill="1" applyBorder="1" applyAlignment="1">
      <alignment horizontal="left" vertical="center" wrapText="1" indent="2"/>
    </xf>
    <xf numFmtId="0" fontId="34" fillId="5" borderId="7" xfId="0">
      <alignment horizontal="center" vertical="center"/>
    </xf>
    <xf numFmtId="60" fontId="31" fillId="5" borderId="7" xfId="0">
      <alignment horizontal="center" vertical="center"/>
    </xf>
    <xf numFmtId="0" fontId="38" fillId="5" borderId="7" xfId="0">
      <alignment horizontal="left" vertical="center" wrapText="1" indent="2"/>
    </xf>
    <xf fontId="39" fillId="6" borderId="8" xfId="0">
      <alignment horizontal="center" vertical="center"/>
    </xf>
    <xf fontId="20" fillId="5" borderId="8" xfId="0">
      <alignment horizontal="center" vertical="center" wrapText="1"/>
    </xf>
    <xf fontId="24" fillId="5" borderId="8" xfId="0">
      <alignment horizontal="left" vertical="center" wrapText="1" indent="2"/>
    </xf>
    <xf numFmtId="0" fontId="19" fillId="5" borderId="7" xfId="0" applyNumberFormat="1" applyFont="1" applyFill="1" applyBorder="1" applyAlignment="1">
      <alignment horizontal="center" vertical="center"/>
    </xf>
    <xf numFmtId="304" fontId="24" fillId="5" borderId="7" xfId="0" applyFont="1" applyFill="1" applyBorder="1" applyAlignment="1">
      <alignment horizontal="left" vertical="center" wrapText="1" indent="2"/>
    </xf>
    <xf numFmtId="0" fontId="40" fillId="6" borderId="7" xfId="0" applyNumberFormat="1" applyFont="1" applyFill="1" applyBorder="1" applyAlignment="1">
      <alignment horizontal="center" vertical="center"/>
    </xf>
    <xf numFmtId="0" fontId="29" fillId="6" borderId="7" xfId="0" applyNumberFormat="1" applyFont="1" applyFill="1" applyBorder="1" applyAlignment="1">
      <alignment horizontal="center" vertical="center" wrapText="1"/>
    </xf>
    <xf numFmtId="0" fontId="41" fillId="6" borderId="7" xfId="0">
      <alignment horizontal="center" vertical="center"/>
    </xf>
    <xf numFmtId="0" fontId="34" fillId="7" borderId="7" xfId="0">
      <alignment horizontal="center" vertical="center"/>
    </xf>
    <xf fontId="31" fillId="7" borderId="7" xfId="0">
      <alignment horizontal="center" vertical="center"/>
    </xf>
    <xf numFmtId="304" fontId="31" fillId="13" borderId="7" xfId="0" applyFont="1" applyFill="1" applyBorder="1" applyAlignment="1">
      <alignment horizontal="center" vertical="center"/>
    </xf>
    <xf numFmtId="304" fontId="31" fillId="14" borderId="7" xfId="0" applyFont="1" applyFill="1" applyBorder="1" applyAlignment="1">
      <alignment horizontal="center" vertical="center" wrapText="1"/>
    </xf>
    <xf numFmtId="304" fontId="31" fillId="2" borderId="7" xfId="0" applyFont="1" applyFill="1" applyBorder="1" applyAlignment="1">
      <alignment horizontal="center" vertical="center" wrapText="1"/>
    </xf>
    <xf numFmtId="304" fontId="31" fillId="14" borderId="7" xfId="0" applyFont="1" applyFill="1" applyBorder="1" applyAlignment="1">
      <alignment horizontal="center" vertical="center"/>
    </xf>
    <xf numFmtId="0" fontId="31" fillId="14" borderId="7" xfId="0" applyNumberFormat="1" applyFont="1" applyFill="1" applyBorder="1" applyAlignment="1">
      <alignment horizontal="center" vertical="center" wrapText="1"/>
    </xf>
    <xf numFmtId="0" fontId="23" fillId="13" borderId="7" xfId="0">
      <alignment horizontal="center" vertical="center" wrapText="1"/>
    </xf>
    <xf numFmtId="0" fontId="26" fillId="7" borderId="7" xfId="0">
      <alignment horizontal="left" vertical="center" wrapText="1" indent="2"/>
    </xf>
    <xf numFmtId="0" fontId="31" fillId="7" borderId="7" xfId="0" applyNumberFormat="1" applyFont="1" applyFill="1" applyBorder="1" applyAlignment="1">
      <alignment horizontal="center" vertical="center"/>
    </xf>
    <xf numFmtId="0" fontId="31" fillId="15" borderId="7" xfId="0" applyNumberFormat="1" applyFont="1" applyFill="1" applyBorder="1" applyAlignment="1">
      <alignment horizontal="center" vertical="center"/>
    </xf>
    <xf fontId="31" fillId="15" borderId="7" xfId="0">
      <alignment horizontal="center" vertical="center"/>
    </xf>
    <xf numFmtId="0" fontId="31" fillId="15" borderId="7" xfId="0">
      <alignment horizontal="center" vertical="center"/>
    </xf>
    <xf numFmtId="304" fontId="31" fillId="15" borderId="7" xfId="0" applyFont="1" applyFill="1" applyBorder="1" applyAlignment="1">
      <alignment horizontal="center" vertical="center"/>
    </xf>
    <xf numFmtId="0" fontId="31" fillId="15" borderId="7" xfId="0" applyNumberFormat="1" applyFont="1" applyFill="1" applyBorder="1" applyAlignment="1">
      <alignment horizontal="center" vertical="center" wrapText="1"/>
    </xf>
    <xf numFmtId="0" fontId="31" fillId="15" borderId="7" xfId="0">
      <alignment horizontal="center" vertical="center" wrapText="1"/>
    </xf>
    <xf numFmtId="0" fontId="23" fillId="7" borderId="7" xfId="0">
      <alignment horizontal="center" vertical="center" wrapText="1"/>
    </xf>
    <xf numFmtId="0" fontId="34" fillId="11" borderId="7" xfId="0">
      <alignment horizontal="center" vertical="center"/>
    </xf>
    <xf numFmtId="0" fontId="31" fillId="11" borderId="7" xfId="0">
      <alignment horizontal="center" vertical="center" wrapText="1"/>
    </xf>
    <xf fontId="31" fillId="11" borderId="7" xfId="0">
      <alignment horizontal="center" vertical="center" wrapText="1"/>
    </xf>
    <xf fontId="31" fillId="11" borderId="7" xfId="0">
      <alignment horizontal="center" vertical="center"/>
    </xf>
    <xf fontId="31" fillId="11" borderId="7" xfId="0">
      <alignment horizontal="center" vertical="center"/>
    </xf>
    <xf fontId="31" fillId="11" borderId="7" xfId="0">
      <alignment horizontal="center" vertical="center"/>
    </xf>
    <xf fontId="31" fillId="11" borderId="7" xfId="0">
      <alignment horizontal="center" vertical="center" wrapText="1"/>
    </xf>
    <xf fontId="31" fillId="11" borderId="7" xfId="0">
      <alignment horizontal="center" vertical="center" wrapText="1"/>
    </xf>
    <xf numFmtId="0" fontId="42" fillId="11" borderId="7" xfId="0">
      <alignment horizontal="center" vertical="center"/>
    </xf>
    <xf numFmtId="0" fontId="38" fillId="11" borderId="7" xfId="0">
      <alignment horizontal="left" vertical="center" wrapText="1" indent="2"/>
    </xf>
    <xf fontId="27" fillId="16" borderId="7" xfId="0"/>
    <xf fontId="27" fillId="16" borderId="7" xfId="0"/>
    <xf numFmtId="0" fontId="31" fillId="11" borderId="7" xfId="0">
      <alignment horizontal="center" vertical="center" wrapText="1"/>
    </xf>
    <xf fontId="27" fillId="16" borderId="7" xfId="0"/>
    <xf fontId="27" fillId="16" borderId="7" xfId="0"/>
    <xf fontId="34" fillId="11" borderId="7" xfId="0">
      <alignment horizontal="center" vertical="center"/>
    </xf>
    <xf numFmtId="0" fontId="31" fillId="11" borderId="7" xfId="0" applyNumberFormat="1" applyFont="1" applyFill="1" applyBorder="1" applyAlignment="1">
      <alignment horizontal="center" vertical="center"/>
    </xf>
    <xf numFmtId="0" fontId="35" fillId="12" borderId="7" xfId="0" applyNumberFormat="1" applyFont="1" applyFill="1" applyBorder="1" applyAlignment="1">
      <alignment horizontal="center" vertical="center"/>
    </xf>
    <xf numFmtId="0" fontId="31" fillId="11" borderId="7" xfId="0">
      <alignment horizontal="center" vertical="center"/>
    </xf>
    <xf numFmtId="304" fontId="31" fillId="11" borderId="7" xfId="0" applyFont="1" applyFill="1" applyBorder="1" applyAlignment="1">
      <alignment horizontal="center" vertical="center"/>
    </xf>
    <xf numFmtId="304" fontId="31" fillId="11" borderId="7" xfId="0" applyFont="1" applyFill="1" applyBorder="1" applyAlignment="1">
      <alignment horizontal="center" vertical="center" wrapText="1"/>
    </xf>
    <xf numFmtId="0" fontId="31" fillId="11" borderId="7" xfId="0" applyNumberFormat="1" applyFont="1" applyFill="1" applyBorder="1" applyAlignment="1">
      <alignment horizontal="center" vertical="center" wrapText="1"/>
    </xf>
    <xf numFmtId="0" fontId="26" fillId="11" borderId="7" xfId="0">
      <alignment horizontal="left" vertical="center" wrapText="1" indent="2"/>
    </xf>
    <xf numFmtId="0" fontId="19" fillId="5" borderId="8" xfId="0" applyNumberFormat="1" applyFont="1" applyFill="1" applyBorder="1" applyAlignment="1">
      <alignment horizontal="center" vertical="center"/>
    </xf>
    <xf numFmtId="304" fontId="29" fillId="6" borderId="8" xfId="0" applyFont="1" applyFill="1" applyBorder="1" applyAlignment="1">
      <alignment horizontal="center" vertical="center"/>
    </xf>
    <xf numFmtId="0" fontId="20" fillId="5" borderId="8" xfId="0" applyNumberFormat="1" applyFont="1" applyFill="1" applyBorder="1" applyAlignment="1">
      <alignment horizontal="center" vertical="center" wrapText="1"/>
    </xf>
    <xf numFmtId="304" fontId="40" fillId="6" borderId="8" xfId="0" applyFont="1" applyFill="1" applyBorder="1" applyAlignment="1">
      <alignment horizontal="center" vertical="center"/>
    </xf>
    <xf numFmtId="304" fontId="29" fillId="6" borderId="7" xfId="0" applyFont="1" applyFill="1" applyBorder="1" applyAlignment="1">
      <alignment horizontal="center" vertical="center"/>
    </xf>
    <xf numFmtId="304" fontId="29" fillId="6" borderId="8" xfId="0" applyFont="1" applyFill="1" applyBorder="1" applyAlignment="1">
      <alignment horizontal="center" vertical="center" wrapText="1"/>
    </xf>
    <xf numFmtId="0" fontId="20" fillId="5" borderId="8" xfId="0" applyNumberFormat="1" applyFont="1" applyFill="1" applyBorder="1" applyAlignment="1">
      <alignment horizontal="center" vertical="center"/>
    </xf>
    <xf numFmtId="304" fontId="43" fillId="6" borderId="8" xfId="0" applyFont="1" applyFill="1" applyBorder="1" applyAlignment="1">
      <alignment horizontal="center" vertical="center"/>
    </xf>
    <xf fontId="35" fillId="6" borderId="7" xfId="0">
      <alignment horizontal="center" vertical="center"/>
    </xf>
    <xf fontId="34" fillId="5" borderId="7" xfId="0">
      <alignment horizontal="center" vertical="center"/>
    </xf>
    <xf numFmtId="0" fontId="44" fillId="5" borderId="7" xfId="0">
      <alignment horizontal="left" vertical="center" wrapText="1" indent="2"/>
    </xf>
    <xf numFmtId="0" fontId="24" fillId="5" borderId="7" xfId="0">
      <alignment horizontal="left" vertical="center" wrapText="1" indent="2"/>
    </xf>
    <xf numFmtId="0" fontId="24" fillId="5" borderId="8" xfId="0">
      <alignment horizontal="left" vertical="center" wrapText="1" indent="2"/>
    </xf>
    <xf fontId="31" fillId="5" borderId="7" xfId="0">
      <alignment horizontal="center" vertical="center"/>
    </xf>
    <xf numFmtId="0" fontId="31" fillId="10" borderId="7" xfId="0">
      <alignment horizontal="center" vertical="center"/>
    </xf>
    <xf numFmtId="0" fontId="26" fillId="15" borderId="7" xfId="0">
      <alignment horizontal="left" vertical="center" wrapText="1" indent="2"/>
    </xf>
    <xf fontId="36" fillId="6" borderId="7" xfId="0">
      <alignment horizontal="center" vertical="center"/>
    </xf>
    <xf fontId="31" fillId="17" borderId="7" xfId="0">
      <alignment horizontal="center" vertical="center" wrapText="1"/>
    </xf>
    <xf numFmtId="0" fontId="31" fillId="7" borderId="7" xfId="0">
      <alignment horizontal="center" vertical="center" wrapText="1"/>
    </xf>
    <xf fontId="34" fillId="11" borderId="7" xfId="0">
      <alignment horizontal="center" vertical="center"/>
    </xf>
    <xf fontId="45" fillId="18" borderId="7" xfId="0"/>
    <xf numFmtId="2" fontId="31" fillId="11" borderId="7" xfId="0" applyNumberFormat="1" applyFont="1" applyFill="1" applyBorder="1" applyAlignment="1">
      <alignment horizontal="center" vertical="center"/>
    </xf>
    <xf numFmtId="304" fontId="23" fillId="11" borderId="7" xfId="0" applyFont="1" applyFill="1" applyBorder="1" applyAlignment="1">
      <alignment horizontal="center" vertical="center"/>
    </xf>
    <xf fontId="25" fillId="8" borderId="8" xfId="0"/>
    <xf numFmtId="0" fontId="24" fillId="5" borderId="7" xfId="0" applyNumberFormat="1" applyFont="1" applyFill="1" applyBorder="1" applyAlignment="1">
      <alignment horizontal="left" vertical="center" wrapText="1" indent="2"/>
    </xf>
    <xf numFmtId="0" fontId="23" fillId="5" borderId="7" xfId="0" applyNumberFormat="1" applyFont="1" applyFill="1" applyBorder="1" applyAlignment="1">
      <alignment horizontal="center" vertical="center" wrapText="1"/>
    </xf>
    <xf numFmtId="304" fontId="32" fillId="6" borderId="8" xfId="0" applyFont="1" applyFill="1" applyBorder="1" applyAlignment="1">
      <alignment horizontal="center" vertical="center"/>
    </xf>
    <xf numFmtId="304" fontId="29" fillId="6" borderId="7" xfId="0" applyFont="1" applyFill="1" applyBorder="1" applyAlignment="1">
      <alignment horizontal="center" vertical="center" wrapText="1"/>
    </xf>
    <xf numFmtId="304" fontId="21" fillId="6" borderId="8" xfId="0" applyFont="1" applyFill="1" applyBorder="1" applyAlignment="1">
      <alignment horizontal="center" vertical="center" wrapText="1"/>
    </xf>
    <xf numFmtId="60" fontId="20" fillId="5" borderId="7" xfId="0">
      <alignment horizontal="center" vertical="center"/>
    </xf>
    <xf numFmtId="60" fontId="20" fillId="5" borderId="7" xfId="0" applyNumberFormat="1" applyFont="1" applyFill="1" applyBorder="1" applyAlignment="1">
      <alignment horizontal="center" vertical="center"/>
    </xf>
    <xf numFmtId="304" fontId="23" fillId="5" borderId="7" xfId="0" applyFont="1" applyFill="1" applyBorder="1" applyAlignment="1">
      <alignment horizontal="center" vertical="center"/>
    </xf>
    <xf fontId="32" fillId="6" borderId="8" xfId="0">
      <alignment horizontal="center" vertical="center"/>
    </xf>
    <xf numFmtId="304" fontId="39" fillId="6" borderId="8" xfId="0" applyFont="1" applyFill="1" applyBorder="1" applyAlignment="1">
      <alignment horizontal="center" vertical="center" wrapText="1"/>
    </xf>
    <xf numFmtId="67" fontId="20" fillId="5" borderId="8" xfId="0" applyNumberFormat="1" applyFont="1" applyFill="1" applyBorder="1" applyAlignment="1">
      <alignment horizontal="center" vertical="center" wrapText="1"/>
    </xf>
    <xf fontId="23" fillId="11" borderId="7" xfId="0">
      <alignment horizontal="center" vertical="center"/>
    </xf>
    <xf numFmtId="304" fontId="20" fillId="11" borderId="8" xfId="0" applyFont="1" applyFill="1" applyBorder="1" applyAlignment="1">
      <alignment horizontal="center" vertical="center"/>
    </xf>
    <xf numFmtId="0" fontId="46" fillId="5" borderId="8" xfId="0" applyNumberFormat="1" applyFont="1" applyFill="1" applyBorder="1" applyAlignment="1">
      <alignment horizontal="left" vertical="center" wrapText="1" indent="2"/>
    </xf>
    <xf fontId="47" fillId="19" borderId="7" xfId="0">
      <alignment horizontal="center" vertical="center"/>
    </xf>
    <xf fontId="47" fillId="4" borderId="0" xfId="0">
      <alignment horizontal="center" vertical="center"/>
    </xf>
    <xf fontId="48" fillId="19" borderId="7" xfId="0">
      <alignment horizontal="center" vertical="center"/>
    </xf>
    <xf fontId="48" fillId="4" borderId="0" xfId="0">
      <alignment horizontal="center" vertical="center"/>
    </xf>
    <xf fontId="0" fillId="0" borderId="9" xfId="0">
      <alignment horizontal="center" vertical="center" wrapText="1"/>
    </xf>
    <xf fontId="0" fillId="0" borderId="10" xfId="0">
      <alignment horizontal="center" vertical="center" wrapText="1"/>
    </xf>
    <xf fontId="0" fillId="0" borderId="11" xfId="0">
      <alignment horizontal="center" vertical="center"/>
    </xf>
    <xf numFmtId="68" fontId="0" fillId="0" borderId="11" xfId="0">
      <alignment horizontal="center" vertical="center"/>
    </xf>
    <xf fontId="0" fillId="0" borderId="12" xfId="0"/>
    <xf fontId="0" fillId="0" borderId="13" xfId="0"/>
    <xf fontId="0" fillId="0" borderId="7" xfId="0">
      <alignment horizontal="center" vertical="center"/>
    </xf>
    <xf numFmtId="301" fontId="0" fillId="0" borderId="7" xfId="0">
      <alignment horizontal="center" vertical="center"/>
    </xf>
    <xf fontId="0" fillId="11" borderId="13" xfId="0">
      <alignment horizontal="center" vertical="center" wrapText="1"/>
    </xf>
    <xf fontId="0" fillId="11" borderId="7" xfId="0">
      <alignment horizontal="center" vertical="center"/>
    </xf>
    <xf numFmtId="68" fontId="0" fillId="11" borderId="7" xfId="0">
      <alignment horizontal="center" vertical="center"/>
    </xf>
    <xf fontId="0" fillId="11" borderId="0" xfId="0">
      <alignment horizontal="center" vertical="center"/>
    </xf>
    <xf fontId="0" fillId="0" borderId="13" xfId="0"/>
    <xf numFmtId="301" fontId="0" fillId="11" borderId="7" xfId="0">
      <alignment horizontal="center" vertical="center"/>
    </xf>
    <xf fontId="0" fillId="20" borderId="13" xfId="0">
      <alignment horizontal="center" vertical="center" wrapText="1"/>
    </xf>
    <xf fontId="0" fillId="20" borderId="7" xfId="0">
      <alignment horizontal="center" vertical="center"/>
    </xf>
    <xf numFmtId="68" fontId="0" fillId="11" borderId="0" xfId="0">
      <alignment horizontal="center" vertical="center"/>
    </xf>
    <xf numFmtId="301" fontId="0" fillId="11" borderId="0" xfId="0">
      <alignment horizontal="center" vertical="center"/>
    </xf>
    <xf fontId="0" fillId="11" borderId="14" xfId="0">
      <alignment horizontal="center" vertical="center"/>
    </xf>
    <xf fontId="0" fillId="5" borderId="0" xfId="0">
      <alignment horizontal="center" vertical="center"/>
    </xf>
    <xf numFmtId="68" fontId="0" fillId="0" borderId="7" xfId="0">
      <alignment horizontal="center" vertical="center"/>
    </xf>
    <xf fontId="0" fillId="0" borderId="14" xfId="0">
      <alignment horizontal="center" vertical="center"/>
    </xf>
    <xf fontId="0" fillId="0" borderId="0" xfId="0">
      <alignment horizontal="center" vertical="center"/>
    </xf>
    <xf fontId="0" fillId="0" borderId="15" xfId="0">
      <alignment horizontal="center" vertical="center"/>
    </xf>
    <xf numFmtId="0" fontId="49" fillId="21" borderId="16" xfId="0"/>
    <xf numFmtId="0" fontId="49" fillId="20" borderId="16" xfId="0"/>
    <xf numFmtId="68" fontId="0" fillId="20" borderId="7" xfId="0">
      <alignment horizontal="center" vertical="center"/>
    </xf>
    <xf numFmtId="68" fontId="50" fillId="20" borderId="17" xfId="0">
      <alignment horizontal="center" vertical="center"/>
    </xf>
    <xf numFmtId="0" fontId="49" fillId="20" borderId="16" xfId="0"/>
    <xf fontId="0" fillId="20" borderId="0" xfId="0">
      <alignment horizontal="center" vertical="center"/>
    </xf>
    <xf numFmtId="301" fontId="0" fillId="20" borderId="7" xfId="0">
      <alignment horizontal="center" vertical="center"/>
    </xf>
    <xf numFmtId="301" fontId="0" fillId="20" borderId="18" xfId="0">
      <alignment horizontal="center" vertical="center"/>
    </xf>
    <xf numFmtId="301" fontId="50" fillId="20" borderId="19" xfId="0">
      <alignment horizontal="center" vertical="center"/>
    </xf>
    <xf numFmtId="301" fontId="50" fillId="20" borderId="17" xfId="0">
      <alignment horizontal="center" vertical="center"/>
    </xf>
    <xf fontId="0" fillId="0" borderId="20" xfId="0"/>
    <xf fontId="0" fillId="20" borderId="18" xfId="0">
      <alignment horizontal="center" vertical="center"/>
    </xf>
    <xf numFmtId="0" fontId="49" fillId="20" borderId="17" xfId="0">
      <alignment horizontal="center"/>
    </xf>
    <xf fontId="0" fillId="0" borderId="21" xfId="0">
      <alignment horizontal="center" vertical="center" wrapText="1"/>
    </xf>
    <xf fontId="0" fillId="20" borderId="15" xfId="0">
      <alignment horizontal="center" vertical="center"/>
    </xf>
    <xf fontId="0" fillId="20" borderId="22" xfId="0">
      <alignment horizontal="center" vertical="center"/>
    </xf>
    <xf numFmtId="0" fontId="49" fillId="20" borderId="16" xfId="0">
      <alignment horizontal="center"/>
    </xf>
    <xf fontId="0" fillId="20" borderId="14" xfId="0">
      <alignment horizontal="center" vertical="center"/>
    </xf>
    <xf fontId="0" fillId="17" borderId="0" xfId="0">
      <alignment horizontal="center" vertical="center"/>
    </xf>
    <xf fontId="51" fillId="0" borderId="7" xfId="0">
      <alignment horizontal="center" vertical="center" wrapText="1"/>
    </xf>
    <xf fontId="52" fillId="20" borderId="7" xfId="0">
      <alignment horizontal="center" vertical="center" wrapText="1"/>
    </xf>
    <xf fontId="51" fillId="20" borderId="23" xfId="0">
      <alignment horizontal="center" vertical="center"/>
    </xf>
    <xf numFmtId="68" fontId="51" fillId="20" borderId="23" xfId="0">
      <alignment horizontal="center" vertical="center"/>
    </xf>
    <xf numFmtId="68" fontId="51" fillId="20" borderId="13" xfId="0">
      <alignment horizontal="center" vertical="center"/>
    </xf>
    <xf numFmtId="68" fontId="51" fillId="11" borderId="13" xfId="0">
      <alignment horizontal="center" vertical="center"/>
    </xf>
    <xf fontId="51" fillId="11" borderId="0" xfId="0">
      <alignment horizontal="center" vertical="center"/>
    </xf>
    <xf fontId="51" fillId="0" borderId="0" xfId="0">
      <alignment horizontal="center" vertical="center"/>
    </xf>
    <xf fontId="51" fillId="20" borderId="24" xfId="0">
      <alignment horizontal="center" vertical="center"/>
    </xf>
    <xf numFmtId="301" fontId="51" fillId="20" borderId="24" xfId="0">
      <alignment horizontal="center" vertical="center"/>
    </xf>
    <xf numFmtId="301" fontId="27" fillId="20" borderId="7" xfId="0">
      <alignment horizontal="center" vertical="center"/>
    </xf>
    <xf numFmtId="301" fontId="27" fillId="11" borderId="7" xfId="0">
      <alignment horizontal="center" vertical="center"/>
    </xf>
    <xf fontId="51" fillId="20" borderId="10" xfId="0">
      <alignment horizontal="center" vertical="center"/>
    </xf>
    <xf fontId="51" fillId="11" borderId="10" xfId="0">
      <alignment horizontal="center" vertical="center"/>
    </xf>
    <xf fontId="52" fillId="20" borderId="25" xfId="0">
      <alignment horizontal="center" vertical="center" wrapText="1"/>
    </xf>
    <xf numFmtId="68" fontId="51" fillId="20" borderId="24" xfId="0">
      <alignment horizontal="center" vertical="center"/>
    </xf>
    <xf numFmtId="68" fontId="51" fillId="20" borderId="10" xfId="0">
      <alignment horizontal="center" vertical="center"/>
    </xf>
    <xf numFmtId="68" fontId="51" fillId="11" borderId="10" xfId="0">
      <alignment horizontal="center" vertical="center"/>
    </xf>
    <xf fontId="0" fillId="0" borderId="25" xfId="0"/>
    <xf numFmtId="301" fontId="51" fillId="20" borderId="10" xfId="0">
      <alignment horizontal="center" vertical="center"/>
    </xf>
    <xf numFmtId="301" fontId="51" fillId="11" borderId="10" xfId="0">
      <alignment horizontal="center" vertical="center"/>
    </xf>
    <xf fontId="51" fillId="20" borderId="0" xfId="0">
      <alignment horizontal="center" vertical="center"/>
    </xf>
    <xf numFmtId="68" fontId="51" fillId="11" borderId="24" xfId="0">
      <alignment horizontal="center" vertical="center"/>
    </xf>
    <xf numFmtId="301" fontId="51" fillId="11" borderId="24" xfId="0">
      <alignment horizontal="center" vertical="center"/>
    </xf>
    <xf numFmtId="301" fontId="51" fillId="22" borderId="10" xfId="0">
      <alignment horizontal="center" vertical="center"/>
    </xf>
    <xf fontId="51" fillId="11" borderId="24" xfId="0">
      <alignment horizontal="center" vertical="center"/>
    </xf>
    <xf numFmtId="68" fontId="51" fillId="11" borderId="26" xfId="0">
      <alignment horizontal="center" vertical="center"/>
    </xf>
    <xf numFmtId="68" fontId="51" fillId="11" borderId="7" xfId="0">
      <alignment horizontal="center" vertical="center"/>
    </xf>
    <xf fontId="51" fillId="22" borderId="10" xfId="0">
      <alignment horizontal="center" vertical="center"/>
    </xf>
    <xf fontId="51" fillId="11" borderId="27" xfId="0">
      <alignment horizontal="center" vertical="center"/>
    </xf>
    <xf fontId="51" fillId="11" borderId="7" xfId="0">
      <alignment horizontal="center" vertical="center"/>
    </xf>
    <xf fontId="51" fillId="11" borderId="28" xfId="0">
      <alignment horizontal="center" vertical="center"/>
    </xf>
    <xf numFmtId="0" fontId="53" fillId="20" borderId="16" xfId="0"/>
    <xf fontId="51" fillId="0" borderId="29" xfId="0">
      <alignment horizontal="center" vertical="center" wrapText="1"/>
    </xf>
    <xf numFmtId="68" fontId="51" fillId="11" borderId="23" xfId="0">
      <alignment horizontal="center" vertical="center"/>
    </xf>
    <xf numFmtId="68" fontId="51" fillId="0" borderId="13" xfId="0">
      <alignment horizontal="center" vertical="center"/>
    </xf>
    <xf numFmtId="68" fontId="51" fillId="0" borderId="0" xfId="0">
      <alignment horizontal="center" vertical="center"/>
    </xf>
    <xf numFmtId="301" fontId="51" fillId="22" borderId="24" xfId="0">
      <alignment horizontal="center" vertical="center"/>
    </xf>
    <xf numFmtId="301" fontId="51" fillId="0" borderId="10" xfId="0">
      <alignment horizontal="center" vertical="center"/>
    </xf>
    <xf numFmtId="301" fontId="51" fillId="16" borderId="10" xfId="0">
      <alignment horizontal="center" vertical="center"/>
    </xf>
    <xf numFmtId="301" fontId="51" fillId="0" borderId="0" xfId="0">
      <alignment horizontal="center" vertical="center"/>
    </xf>
    <xf fontId="51" fillId="0" borderId="10" xfId="0">
      <alignment horizontal="center" vertical="center"/>
    </xf>
    <xf numFmtId="68" fontId="51" fillId="0" borderId="10" xfId="0">
      <alignment horizontal="center" vertical="center"/>
    </xf>
    <xf numFmtId="301" fontId="51" fillId="23" borderId="10" xfId="0">
      <alignment horizontal="center" vertical="center"/>
    </xf>
    <xf numFmtId="301" fontId="51" fillId="16" borderId="30" xfId="0">
      <alignment horizontal="center" vertical="center"/>
    </xf>
    <xf numFmtId="68" fontId="27" fillId="11" borderId="7" xfId="0">
      <alignment horizontal="center" vertical="center"/>
    </xf>
    <xf numFmtId="68" fontId="27" fillId="0" borderId="7" xfId="0">
      <alignment horizontal="center" vertical="center"/>
    </xf>
    <xf numFmtId="68" fontId="27" fillId="0" borderId="0" xfId="0">
      <alignment horizontal="center" vertical="center"/>
    </xf>
    <xf numFmtId="301" fontId="27" fillId="0" borderId="7" xfId="0">
      <alignment horizontal="center" vertical="center"/>
    </xf>
    <xf numFmtId="301" fontId="27" fillId="0" borderId="0" xfId="0">
      <alignment horizontal="center" vertical="center"/>
    </xf>
    <xf numFmtId="68" fontId="27" fillId="16" borderId="7" xfId="0">
      <alignment horizontal="center" vertical="center"/>
    </xf>
    <xf numFmtId="68" fontId="51" fillId="0" borderId="24" xfId="0">
      <alignment horizontal="center" vertical="center"/>
    </xf>
    <xf numFmtId="301" fontId="51" fillId="0" borderId="24" xfId="0">
      <alignment horizontal="center" vertical="center"/>
    </xf>
    <xf numFmtId="301" fontId="0" fillId="0" borderId="0" xfId="0">
      <alignment horizontal="center" vertical="center"/>
    </xf>
    <xf fontId="51" fillId="0" borderId="24" xfId="0">
      <alignment horizontal="center" vertical="center"/>
    </xf>
    <xf fontId="51" fillId="0" borderId="14" xfId="0">
      <alignment horizontal="center" vertical="center"/>
    </xf>
    <xf fontId="0" fillId="20" borderId="7" xfId="0">
      <alignment horizontal="center" vertical="center" wrapText="1"/>
    </xf>
    <xf fontId="0" fillId="0" borderId="31" xfId="0">
      <alignment horizontal="center" vertical="center"/>
    </xf>
    <xf fontId="0" fillId="0" borderId="22" xfId="0">
      <alignment horizontal="center" vertical="center"/>
    </xf>
    <xf fontId="0" fillId="0" borderId="32" xfId="0">
      <alignment horizontal="center" vertical="center"/>
    </xf>
    <xf numFmtId="68" fontId="0" fillId="0" borderId="0" xfId="0">
      <alignment horizontal="center" vertical="center"/>
    </xf>
    <xf fontId="0" fillId="0" borderId="7" xfId="0">
      <alignment horizontal="center" vertical="center" wrapText="1"/>
    </xf>
    <xf numFmtId="68" fontId="0" fillId="20" borderId="22" xfId="0">
      <alignment horizontal="center" vertical="center"/>
    </xf>
    <xf numFmtId="0" fontId="54" fillId="3" borderId="7" xfId="0">
      <alignment horizontal="center" vertical="center" wrapText="1"/>
    </xf>
    <xf fontId="55" fillId="3" borderId="7" xfId="0">
      <alignment horizontal="center" vertical="center" wrapText="1"/>
    </xf>
    <xf fontId="56" fillId="3" borderId="7" xfId="0">
      <alignment horizontal="center" vertical="center" wrapText="1"/>
    </xf>
    <xf numFmtId="304" fontId="20" fillId="3" borderId="8" xfId="0" applyFont="1" applyFill="1" applyBorder="1" applyAlignment="1">
      <alignment horizontal="center" vertical="center" wrapText="1"/>
    </xf>
    <xf numFmtId="304" fontId="56" fillId="3" borderId="8" xfId="0" applyFont="1" applyFill="1" applyBorder="1" applyAlignment="1">
      <alignment horizontal="center" vertical="center" wrapText="1"/>
    </xf>
    <xf numFmtId="0" fontId="56" fillId="3" borderId="8" xfId="0" applyNumberFormat="1" applyFont="1" applyFill="1" applyBorder="1" applyAlignment="1">
      <alignment horizontal="center" vertical="center"/>
    </xf>
    <xf numFmtId="0" fontId="56" fillId="3" borderId="8" xfId="0" applyNumberFormat="1" applyFont="1" applyFill="1" applyBorder="1" applyAlignment="1">
      <alignment horizontal="center" vertical="center" wrapText="1"/>
    </xf>
    <xf numFmtId="304" fontId="56" fillId="3" borderId="7" xfId="0" applyFont="1" applyFill="1" applyBorder="1" applyAlignment="1">
      <alignment horizontal="center" vertical="center" wrapText="1"/>
    </xf>
    <xf numFmtId="67" fontId="20" fillId="3" borderId="8" xfId="0" applyNumberFormat="1" applyFont="1" applyFill="1" applyBorder="1" applyAlignment="1">
      <alignment horizontal="center" vertical="center" wrapText="1"/>
    </xf>
    <xf numFmtId="67" fontId="20" fillId="24" borderId="8" xfId="0" applyNumberFormat="1" applyFont="1" applyFill="1" applyBorder="1" applyAlignment="1">
      <alignment horizontal="center" vertical="center" wrapText="1"/>
    </xf>
    <xf numFmtId="0" fontId="56" fillId="24" borderId="7" xfId="0" applyNumberFormat="1" applyFont="1" applyFill="1" applyBorder="1" applyAlignment="1">
      <alignment horizontal="center" vertical="center"/>
    </xf>
    <xf numFmtId="304" fontId="21" fillId="3" borderId="8" xfId="0" applyFont="1" applyFill="1" applyBorder="1" applyAlignment="1">
      <alignment horizontal="center" vertical="center" wrapText="1"/>
    </xf>
    <xf numFmtId="9" fontId="21" fillId="3" borderId="8" xfId="0" applyNumberFormat="1" applyFont="1" applyFill="1" applyBorder="1" applyAlignment="1">
      <alignment horizontal="center" vertical="center" wrapText="1"/>
    </xf>
    <xf fontId="34" fillId="6" borderId="21" xfId="0">
      <alignment horizontal="center" vertical="center"/>
    </xf>
    <xf fontId="19" fillId="6" borderId="7" xfId="0">
      <alignment horizontal="center" vertical="center"/>
    </xf>
    <xf fontId="29" fillId="6" borderId="7" xfId="0">
      <alignment horizontal="center" vertical="center"/>
    </xf>
    <xf numFmtId="302" fontId="20" fillId="5" borderId="7" xfId="0">
      <alignment horizontal="center" vertical="center"/>
    </xf>
    <xf numFmtId="67" fontId="20" fillId="5" borderId="7" xfId="0">
      <alignment horizontal="center" vertical="center"/>
    </xf>
    <xf numFmtId="302" fontId="20" fillId="5" borderId="18" xfId="0">
      <alignment horizontal="center" vertical="center"/>
    </xf>
    <xf numFmtId="0" fontId="31" fillId="0" borderId="7" xfId="0" applyNumberFormat="1" applyFont="1" applyBorder="1" applyAlignment="1">
      <alignment horizontal="center" vertical="center"/>
    </xf>
    <xf numFmtId="0" fontId="57" fillId="0" borderId="22" xfId="0" applyNumberFormat="1" applyFont="1" applyBorder="1"/>
    <xf fontId="32" fillId="6" borderId="7" xfId="0">
      <alignment horizontal="center" vertical="center"/>
    </xf>
    <xf fontId="25" fillId="8" borderId="7" xfId="0">
      <alignment/>
    </xf>
    <xf numFmtId="0" fontId="31" fillId="0" borderId="7" xfId="0" applyNumberFormat="1" applyFont="1" applyBorder="1"/>
    <xf fontId="34" fillId="12" borderId="7" xfId="0">
      <alignment horizontal="center" vertical="center"/>
    </xf>
    <xf fontId="27" fillId="8" borderId="7" xfId="0">
      <alignment/>
    </xf>
    <xf numFmtId="0" fontId="31" fillId="15" borderId="7" xfId="0">
      <alignment horizontal="center" vertical="center" wrapText="1"/>
    </xf>
    <xf numFmtId="302" fontId="31" fillId="15" borderId="7" xfId="0">
      <alignment horizontal="center" vertical="center" wrapText="1"/>
    </xf>
    <xf numFmtId="67" fontId="31" fillId="15" borderId="7" xfId="0">
      <alignment horizontal="center" vertical="center" wrapText="1"/>
    </xf>
    <xf numFmtId="302" fontId="31" fillId="15" borderId="18" xfId="0">
      <alignment horizontal="center" vertical="center"/>
    </xf>
    <xf numFmtId="0" fontId="57" fillId="0" borderId="22" xfId="0" applyNumberFormat="1" applyFont="1" applyBorder="1" applyAlignment="1">
      <alignment horizontal="center" vertical="center"/>
    </xf>
    <xf fontId="34" fillId="12" borderId="21" xfId="0">
      <alignment horizontal="center" vertical="center"/>
    </xf>
    <xf fontId="31" fillId="11" borderId="33" xfId="0">
      <alignment horizontal="center" vertical="center"/>
    </xf>
    <xf fontId="0" fillId="0" borderId="34" xfId="0"/>
    <xf numFmtId="0" fontId="31" fillId="11" borderId="7" xfId="0">
      <alignment horizontal="center" vertical="center"/>
    </xf>
    <xf numFmtId="302" fontId="31" fillId="11" borderId="7" xfId="0">
      <alignment horizontal="center" vertical="center" wrapText="1"/>
    </xf>
    <xf numFmtId="67" fontId="31" fillId="11" borderId="7" xfId="0">
      <alignment horizontal="center" vertical="center" wrapText="1"/>
    </xf>
    <xf numFmtId="302" fontId="31" fillId="11" borderId="18" xfId="0">
      <alignment horizontal="center" vertical="center"/>
    </xf>
    <xf fontId="58" fillId="6" borderId="9" xfId="0">
      <alignment horizontal="center" vertical="center"/>
    </xf>
    <xf fontId="0" fillId="0" borderId="35" xfId="0"/>
    <xf fontId="0" fillId="0" borderId="36" xfId="0"/>
    <xf fontId="0" fillId="0" borderId="37" xfId="0"/>
    <xf fontId="19" fillId="6" borderId="21" xfId="0">
      <alignment horizontal="center" vertical="center"/>
    </xf>
    <xf fontId="20" fillId="5" borderId="33" xfId="0">
      <alignment horizontal="center" vertical="center"/>
    </xf>
    <xf fontId="0" fillId="0" borderId="38" xfId="0"/>
    <xf fontId="0" fillId="0" borderId="39" xfId="0"/>
    <xf fontId="0" fillId="0" borderId="40" xfId="0"/>
    <xf fontId="19" fillId="12" borderId="7" xfId="0">
      <alignment horizontal="center" vertical="center"/>
    </xf>
    <xf fontId="31" fillId="11" borderId="7" xfId="0">
      <alignment horizontal="center" vertical="center"/>
    </xf>
    <xf fontId="45" fillId="18" borderId="7" xfId="0">
      <alignment/>
    </xf>
    <xf numFmtId="302" fontId="31" fillId="11" borderId="7" xfId="0">
      <alignment horizontal="center" vertical="center"/>
    </xf>
    <xf numFmtId="67" fontId="31" fillId="11" borderId="7" xfId="0">
      <alignment horizontal="center" vertical="center"/>
    </xf>
    <xf numFmtId="302" fontId="31" fillId="11" borderId="18" xfId="0">
      <alignment horizontal="center" vertical="center"/>
    </xf>
    <xf numFmtId="0" fontId="31" fillId="0" borderId="7" xfId="0" applyNumberFormat="1" applyFont="1" applyBorder="1" applyAlignment="1">
      <alignment wrapText="1"/>
    </xf>
    <xf fontId="34" fillId="6" borderId="7" xfId="0">
      <alignment horizontal="center" vertical="center"/>
    </xf>
    <xf numFmtId="302" fontId="31" fillId="5" borderId="7" xfId="0">
      <alignment horizontal="center" vertical="center"/>
    </xf>
    <xf numFmtId="67" fontId="31" fillId="5" borderId="7" xfId="0">
      <alignment horizontal="center" vertical="center"/>
    </xf>
    <xf numFmtId="302" fontId="31" fillId="5" borderId="18" xfId="0">
      <alignment horizontal="center" vertical="center"/>
    </xf>
    <xf numFmtId="0" fontId="57" fillId="0" borderId="50" xfId="0" applyNumberFormat="1" applyFont="1"/>
    <xf fontId="34" fillId="12" borderId="7" xfId="0">
      <alignment horizontal="center" vertical="center"/>
    </xf>
    <xf fontId="31" fillId="11" borderId="18" xfId="0">
      <alignment horizontal="center" vertical="center"/>
    </xf>
    <xf fontId="0" fillId="0" borderId="28" xfId="0"/>
    <xf numFmtId="302" fontId="31" fillId="11" borderId="7" xfId="0">
      <alignment horizontal="center" vertical="center"/>
    </xf>
    <xf numFmtId="0" fontId="31" fillId="0" borderId="7" xfId="0">
      <alignment horizontal="center" vertical="center"/>
    </xf>
    <xf numFmtId="0" fontId="57" fillId="0" borderId="0" xfId="0">
      <alignment horizontal="center" vertical="center"/>
    </xf>
    <xf fontId="34" fillId="6" borderId="12" xfId="0"/>
    <xf numFmtId="302" fontId="31" fillId="11" borderId="7" xfId="0">
      <alignment horizontal="center" vertical="center" wrapText="1"/>
    </xf>
    <xf numFmtId="67" fontId="31" fillId="11" borderId="7" xfId="0">
      <alignment horizontal="center" vertical="center" wrapText="1"/>
    </xf>
    <xf fontId="34" fillId="17" borderId="21" xfId="0">
      <alignment horizontal="center" vertical="center"/>
    </xf>
    <xf fontId="37" fillId="6" borderId="7" xfId="0">
      <alignment horizontal="center" vertical="center"/>
    </xf>
    <xf numFmtId="67" fontId="31" fillId="5" borderId="7" xfId="0">
      <alignment horizontal="center" vertical="center" wrapText="1"/>
    </xf>
    <xf fontId="58" fillId="6" borderId="7" xfId="0">
      <alignment horizontal="center" vertical="center"/>
    </xf>
    <xf fontId="59" fillId="12" borderId="7" xfId="0">
      <alignment horizontal="center" vertical="center"/>
    </xf>
    <xf fontId="31" fillId="11" borderId="7" xfId="0">
      <alignment horizontal="center" vertical="center" wrapText="1"/>
    </xf>
    <xf numFmtId="0" fontId="31" fillId="18" borderId="7" xfId="0">
      <alignment horizontal="center" vertical="center"/>
    </xf>
    <xf numFmtId="0" fontId="57" fillId="18" borderId="0" xfId="0">
      <alignment horizontal="center" vertical="center"/>
    </xf>
    <xf fontId="31" fillId="5" borderId="18" xfId="0">
      <alignment horizontal="center" vertical="center"/>
    </xf>
    <xf fontId="0" fillId="0" borderId="41" xfId="0"/>
    <xf fontId="0" fillId="0" borderId="42" xfId="0"/>
    <xf numFmtId="0" fontId="31" fillId="18" borderId="7" xfId="0" applyNumberFormat="1" applyFont="1" applyFill="1" applyBorder="1"/>
    <xf numFmtId="0" fontId="57" fillId="18" borderId="50" xfId="0" applyNumberFormat="1" applyFont="1" applyFill="1"/>
    <xf numFmtId="0" fontId="31" fillId="18" borderId="7" xfId="0" applyNumberFormat="1" applyFont="1" applyFill="1" applyBorder="1" applyAlignment="1">
      <alignment horizontal="center" vertical="center"/>
    </xf>
    <xf numFmtId="0" fontId="57" fillId="18" borderId="50" xfId="0" applyNumberFormat="1" applyFont="1" applyFill="1" applyAlignment="1">
      <alignment horizontal="center" vertical="center"/>
    </xf>
    <xf fontId="60" fillId="12" borderId="7" xfId="0">
      <alignment horizontal="center" vertical="center"/>
    </xf>
    <xf fontId="34" fillId="20" borderId="21" xfId="0">
      <alignment horizontal="center" vertical="center"/>
    </xf>
    <xf numFmtId="59" fontId="31" fillId="11" borderId="7" xfId="0">
      <alignment horizontal="center" vertical="center"/>
    </xf>
    <xf numFmtId="0" fontId="31" fillId="20" borderId="7" xfId="0" applyNumberFormat="1" applyFont="1" applyFill="1" applyBorder="1" applyAlignment="1">
      <alignment horizontal="center" vertical="center"/>
    </xf>
    <xf numFmtId="0" fontId="57" fillId="20" borderId="50" xfId="0" applyNumberFormat="1" applyFont="1" applyFill="1" applyAlignment="1">
      <alignment horizontal="center" vertical="center"/>
    </xf>
    <xf fontId="34" fillId="12" borderId="21" xfId="0">
      <alignment horizontal="center" vertical="center"/>
    </xf>
    <xf fontId="31" fillId="11" borderId="33" xfId="0">
      <alignment horizontal="center" vertical="center"/>
    </xf>
    <xf fontId="20" fillId="5" borderId="7" xfId="0">
      <alignment horizontal="center" vertical="center"/>
    </xf>
    <xf fontId="0" fillId="0" borderId="43" xfId="0"/>
    <xf fontId="0" fillId="0" borderId="44" xfId="0"/>
    <xf numFmtId="0" fontId="19" fillId="6" borderId="7" xfId="0" applyNumberFormat="1" applyFont="1" applyFill="1" applyBorder="1" applyAlignment="1">
      <alignment horizontal="center" vertical="center"/>
    </xf>
    <xf numFmtId="304" fontId="20" fillId="17" borderId="7" xfId="0" applyFont="1" applyFill="1" applyBorder="1" applyAlignment="1">
      <alignment horizontal="center" vertical="center"/>
    </xf>
    <xf numFmtId="0" fontId="20" fillId="17" borderId="7" xfId="0" applyNumberFormat="1" applyFont="1" applyFill="1" applyBorder="1" applyAlignment="1">
      <alignment horizontal="center" vertical="center"/>
    </xf>
    <xf numFmtId="302" fontId="20" fillId="17" borderId="7" xfId="0" applyNumberFormat="1" applyFont="1" applyFill="1" applyBorder="1" applyAlignment="1">
      <alignment horizontal="center" vertical="center"/>
    </xf>
    <xf numFmtId="67" fontId="20" fillId="17" borderId="7" xfId="0" applyNumberFormat="1" applyFont="1" applyFill="1" applyBorder="1" applyAlignment="1">
      <alignment horizontal="center" vertical="center"/>
    </xf>
    <xf numFmtId="302" fontId="20" fillId="17" borderId="18" xfId="0" applyNumberFormat="1" applyFont="1" applyFill="1" applyBorder="1" applyAlignment="1">
      <alignment horizontal="center" vertical="center"/>
    </xf>
    <xf numFmtId="0" fontId="31" fillId="17" borderId="7" xfId="0" applyNumberFormat="1" applyFont="1" applyFill="1" applyBorder="1" applyAlignment="1">
      <alignment horizontal="center" vertical="center"/>
    </xf>
    <xf numFmtId="0" fontId="57" fillId="17" borderId="50" xfId="0" applyNumberFormat="1" applyFont="1" applyFill="1" applyAlignment="1">
      <alignment horizontal="center" vertical="center"/>
    </xf>
    <xf fontId="34" fillId="17" borderId="9" xfId="0">
      <alignment horizontal="center" vertical="center"/>
    </xf>
    <xf numFmtId="0" fontId="34" fillId="6" borderId="7" xfId="0">
      <alignment horizontal="center" vertical="center"/>
    </xf>
    <xf fontId="31" fillId="17" borderId="7" xfId="0">
      <alignment horizontal="center" vertical="center"/>
    </xf>
    <xf numFmtId="0" fontId="31" fillId="17" borderId="7" xfId="0">
      <alignment horizontal="center" vertical="center"/>
    </xf>
    <xf numFmtId="302" fontId="31" fillId="17" borderId="7" xfId="0">
      <alignment horizontal="center" vertical="center"/>
    </xf>
    <xf numFmtId="67" fontId="31" fillId="17" borderId="7" xfId="0">
      <alignment horizontal="center" vertical="center"/>
    </xf>
    <xf numFmtId="302" fontId="31" fillId="17" borderId="18" xfId="0">
      <alignment horizontal="center" vertical="center"/>
    </xf>
    <xf numFmtId="0" fontId="57" fillId="17" borderId="0" xfId="0">
      <alignment horizontal="center" vertical="center"/>
    </xf>
    <xf fontId="20" fillId="17" borderId="7" xfId="0">
      <alignment horizontal="center" vertical="center"/>
    </xf>
    <xf fontId="21" fillId="6" borderId="7" xfId="0">
      <alignment horizontal="center" vertical="center"/>
    </xf>
    <xf numFmtId="0" fontId="20" fillId="17" borderId="7" xfId="0">
      <alignment horizontal="center" vertical="center" wrapText="1"/>
    </xf>
    <xf fontId="28" fillId="17" borderId="7" xfId="0">
      <alignment horizontal="center" vertical="center"/>
    </xf>
    <xf numFmtId="302" fontId="28" fillId="17" borderId="7" xfId="0">
      <alignment horizontal="center" vertical="center"/>
    </xf>
    <xf numFmtId="67" fontId="20" fillId="17" borderId="7" xfId="0">
      <alignment horizontal="center" vertical="center" wrapText="1"/>
    </xf>
    <xf numFmtId="302" fontId="20" fillId="17" borderId="18" xfId="0">
      <alignment horizontal="center" vertical="center"/>
    </xf>
    <xf fontId="61" fillId="17" borderId="21" xfId="0">
      <alignment horizontal="center" vertical="center"/>
    </xf>
    <xf fontId="31" fillId="20" borderId="7" xfId="0">
      <alignment horizontal="center" vertical="center"/>
    </xf>
    <xf fontId="31" fillId="20" borderId="7" xfId="0">
      <alignment horizontal="center" vertical="center" wrapText="1"/>
    </xf>
    <xf numFmtId="0" fontId="31" fillId="20" borderId="7" xfId="0">
      <alignment horizontal="center" vertical="center" wrapText="1"/>
    </xf>
    <xf numFmtId="302" fontId="31" fillId="20" borderId="7" xfId="0">
      <alignment horizontal="center" vertical="center" wrapText="1"/>
    </xf>
    <xf numFmtId="67" fontId="31" fillId="20" borderId="7" xfId="0">
      <alignment horizontal="center" vertical="center" wrapText="1"/>
    </xf>
    <xf numFmtId="302" fontId="31" fillId="20" borderId="18" xfId="0">
      <alignment horizontal="center" vertical="center"/>
    </xf>
    <xf fontId="31" fillId="17" borderId="33" xfId="0">
      <alignment horizontal="center" vertical="center"/>
    </xf>
    <xf fontId="31" fillId="20" borderId="7" xfId="0">
      <alignment horizontal="center" vertical="center" wrapText="1"/>
    </xf>
    <xf numFmtId="67" fontId="31" fillId="20" borderId="7" xfId="0">
      <alignment horizontal="center" vertical="center"/>
    </xf>
    <xf numFmtId="0" fontId="62" fillId="16" borderId="50" xfId="0" applyNumberFormat="1" applyFont="1" applyFill="1" applyAlignment="1">
      <alignment horizontal="center" vertical="center"/>
    </xf>
    <xf fontId="58" fillId="17" borderId="9" xfId="0">
      <alignment horizontal="center" vertical="center"/>
    </xf>
    <xf fontId="31" fillId="20" borderId="21" xfId="0">
      <alignment horizontal="center" vertical="center"/>
    </xf>
    <xf numFmtId="0" fontId="20" fillId="17" borderId="8" xfId="0" applyNumberFormat="1" applyFont="1" applyFill="1" applyBorder="1" applyAlignment="1">
      <alignment horizontal="center" vertical="center"/>
    </xf>
    <xf numFmtId="304" fontId="19" fillId="6" borderId="45" xfId="0" applyFont="1" applyFill="1" applyBorder="1" applyAlignment="1">
      <alignment horizontal="center" vertical="center"/>
    </xf>
    <xf numFmtId="304" fontId="20" fillId="9" borderId="45" xfId="0" applyFont="1" applyFill="1" applyBorder="1" applyAlignment="1">
      <alignment horizontal="center" vertical="center"/>
    </xf>
    <xf numFmtId="304" fontId="20" fillId="17" borderId="8" xfId="0" applyFont="1" applyFill="1" applyBorder="1" applyAlignment="1">
      <alignment horizontal="center" vertical="center"/>
    </xf>
    <xf numFmtId="304" fontId="20" fillId="17" borderId="8" xfId="0" applyFont="1" applyFill="1" applyBorder="1" applyAlignment="1">
      <alignment horizontal="center" vertical="center" wrapText="1"/>
    </xf>
    <xf numFmtId="0" fontId="20" fillId="17" borderId="8" xfId="0" applyNumberFormat="1" applyFont="1" applyFill="1" applyBorder="1" applyAlignment="1">
      <alignment horizontal="center" vertical="center" wrapText="1"/>
    </xf>
    <xf numFmtId="302" fontId="20" fillId="9" borderId="8" xfId="0" applyNumberFormat="1" applyFont="1" applyFill="1" applyBorder="1" applyAlignment="1">
      <alignment horizontal="center" vertical="center" wrapText="1"/>
    </xf>
    <xf numFmtId="67" fontId="20" fillId="17" borderId="8" xfId="0" applyNumberFormat="1" applyFont="1" applyFill="1" applyBorder="1" applyAlignment="1">
      <alignment horizontal="center" vertical="center" wrapText="1"/>
    </xf>
    <xf numFmtId="302" fontId="20" fillId="9" borderId="46" xfId="0" applyNumberFormat="1" applyFont="1" applyFill="1" applyBorder="1" applyAlignment="1">
      <alignment horizontal="center" vertical="center"/>
    </xf>
    <xf numFmtId="0" fontId="20" fillId="17" borderId="7" xfId="0">
      <alignment horizontal="center" vertical="center"/>
    </xf>
    <xf numFmtId="0" fontId="63" fillId="20" borderId="50" xfId="0" applyNumberFormat="1" applyFont="1" applyFill="1" applyAlignment="1">
      <alignment horizontal="center" vertical="center"/>
    </xf>
    <xf fontId="31" fillId="17" borderId="38" xfId="0">
      <alignment horizontal="center" vertical="center"/>
    </xf>
    <xf fontId="31" fillId="17" borderId="7" xfId="0">
      <alignment horizontal="center" vertical="center"/>
    </xf>
    <xf fontId="31" fillId="17" borderId="21" xfId="0">
      <alignment horizontal="center" vertical="center" wrapText="1"/>
    </xf>
    <xf fontId="31" fillId="17" borderId="7" xfId="0">
      <alignment horizontal="center" vertical="center" wrapText="1"/>
    </xf>
    <xf numFmtId="302" fontId="31" fillId="17" borderId="7" xfId="0">
      <alignment horizontal="center" vertical="center" wrapText="1"/>
    </xf>
    <xf numFmtId="67" fontId="31" fillId="17" borderId="7" xfId="0">
      <alignment horizontal="center" vertical="center" wrapText="1"/>
    </xf>
    <xf numFmtId="0" fontId="31" fillId="17" borderId="21" xfId="0">
      <alignment horizontal="center" vertical="center"/>
    </xf>
    <xf numFmtId="302" fontId="31" fillId="20" borderId="7" xfId="0">
      <alignment horizontal="center" vertical="center"/>
    </xf>
    <xf numFmtId="67" fontId="31" fillId="17" borderId="7" xfId="0">
      <alignment horizontal="center" vertical="center" wrapText="1"/>
    </xf>
    <xf numFmtId="0" fontId="31" fillId="20" borderId="21" xfId="0" applyNumberFormat="1" applyFont="1" applyFill="1" applyBorder="1" applyAlignment="1">
      <alignment horizontal="center" vertical="center"/>
    </xf>
    <xf fontId="31" fillId="20" borderId="33" xfId="0">
      <alignment horizontal="center" vertical="center"/>
    </xf>
    <xf numFmtId="0" fontId="31" fillId="20" borderId="7" xfId="0">
      <alignment horizontal="center" vertical="center"/>
    </xf>
    <xf fontId="60" fillId="12" borderId="21" xfId="0">
      <alignment horizontal="center" vertical="center"/>
    </xf>
    <xf fontId="59" fillId="12" borderId="21" xfId="0">
      <alignment horizontal="center" vertical="center"/>
    </xf>
    <xf numFmtId="0" fontId="31" fillId="20" borderId="21" xfId="0">
      <alignment horizontal="center" vertical="center" wrapText="1"/>
    </xf>
    <xf fontId="31" fillId="20" borderId="21" xfId="0">
      <alignment horizontal="center" vertical="center" wrapText="1"/>
    </xf>
    <xf numFmtId="302" fontId="31" fillId="20" borderId="21" xfId="0">
      <alignment horizontal="center" vertical="center" wrapText="1"/>
    </xf>
    <xf numFmtId="67" fontId="59" fillId="12" borderId="21" xfId="0">
      <alignment horizontal="center" vertical="center"/>
    </xf>
    <xf numFmtId="302" fontId="31" fillId="20" borderId="33" xfId="0">
      <alignment horizontal="center" vertical="center"/>
    </xf>
    <xf fontId="34" fillId="20" borderId="7" xfId="0">
      <alignment horizontal="center" vertical="center"/>
    </xf>
    <xf numFmtId="0" fontId="31" fillId="17" borderId="7" xfId="0">
      <alignment horizontal="center" vertical="center"/>
    </xf>
    <xf fontId="0" fillId="0" borderId="18" xfId="0"/>
    <xf numFmtId="302" fontId="31" fillId="20" borderId="13" xfId="0">
      <alignment horizontal="center" vertical="center"/>
    </xf>
    <xf numFmtId="302" fontId="31" fillId="20" borderId="13" xfId="0">
      <alignment horizontal="center" vertical="center" wrapText="1"/>
    </xf>
    <xf numFmtId="0" fontId="64" fillId="17" borderId="15" xfId="0">
      <alignment horizontal="center" vertical="center"/>
    </xf>
    <xf numFmtId="67" fontId="64" fillId="17" borderId="15" xfId="0">
      <alignment horizontal="center" vertical="center"/>
    </xf>
    <xf numFmtId="0" fontId="65" fillId="3" borderId="8" xfId="0" applyNumberFormat="1" applyFont="1" applyFill="1" applyBorder="1" applyAlignment="1">
      <alignment horizontal="center" vertical="center" wrapText="1"/>
    </xf>
    <xf numFmtId="304" fontId="4" fillId="3" borderId="8" xfId="0" applyFont="1" applyFill="1" applyBorder="1" applyAlignment="1">
      <alignment horizontal="center" vertical="center" wrapText="1"/>
    </xf>
    <xf fontId="6" fillId="3" borderId="18" xfId="0">
      <alignment horizontal="center" vertical="center" wrapText="1"/>
    </xf>
    <xf fontId="66" fillId="3" borderId="7" xfId="0">
      <alignment horizontal="center" vertical="center"/>
    </xf>
    <xf numFmtId="304" fontId="8" fillId="3" borderId="8" xfId="0" applyFont="1" applyFill="1" applyBorder="1" applyAlignment="1">
      <alignment horizontal="center" vertical="center" wrapText="1"/>
    </xf>
    <xf numFmtId="304" fontId="8" fillId="3" borderId="7" xfId="0" applyFont="1" applyFill="1" applyBorder="1" applyAlignment="1">
      <alignment horizontal="center" vertical="center" wrapText="1"/>
    </xf>
    <xf numFmtId="304" fontId="10" fillId="3" borderId="8" xfId="0" applyFont="1" applyFill="1" applyBorder="1" applyAlignment="1">
      <alignment horizontal="center" vertical="center"/>
    </xf>
    <xf numFmtId="0" fontId="11" fillId="25" borderId="7" xfId="0">
      <alignment horizontal="center" vertical="center" wrapText="1"/>
    </xf>
    <xf numFmtId="304" fontId="10" fillId="3" borderId="8" xfId="0" applyFont="1" applyFill="1" applyBorder="1" applyAlignment="1">
      <alignment horizontal="center" vertical="center" wrapText="1"/>
    </xf>
    <xf numFmtId="304" fontId="20" fillId="3" borderId="8" xfId="0" applyFont="1" applyFill="1" applyBorder="1" applyAlignment="1">
      <alignment horizontal="center" vertical="center"/>
    </xf>
    <xf numFmtId="0" fontId="18" fillId="3" borderId="8" xfId="0" applyNumberFormat="1" applyFont="1" applyFill="1" applyBorder="1" applyAlignment="1">
      <alignment horizontal="center" vertical="center" wrapText="1"/>
    </xf>
    <xf numFmtId="0" fontId="66" fillId="3" borderId="8" xfId="0" applyNumberFormat="1" applyFont="1" applyFill="1" applyBorder="1" applyAlignment="1">
      <alignment horizontal="center" vertical="center" wrapText="1"/>
    </xf>
    <xf numFmtId="304" fontId="66" fillId="3" borderId="8" xfId="0" applyFont="1" applyFill="1" applyBorder="1" applyAlignment="1">
      <alignment horizontal="center" vertical="center" wrapText="1"/>
    </xf>
    <xf numFmtId="0" fontId="67" fillId="6" borderId="8" xfId="0" applyNumberFormat="1" applyFont="1" applyFill="1" applyBorder="1" applyAlignment="1">
      <alignment horizontal="center" vertical="center"/>
    </xf>
    <xf numFmtId="304" fontId="66" fillId="6" borderId="8" xfId="0" applyFont="1" applyFill="1" applyBorder="1" applyAlignment="1">
      <alignment horizontal="center" vertical="center"/>
    </xf>
    <xf numFmtId="304" fontId="66" fillId="17" borderId="8" xfId="0" applyFont="1" applyFill="1" applyBorder="1" applyAlignment="1">
      <alignment horizontal="center" vertical="center"/>
    </xf>
    <xf numFmtId="303" fontId="66" fillId="6" borderId="8" xfId="0" applyNumberFormat="1" applyFont="1" applyFill="1" applyBorder="1" applyAlignment="1">
      <alignment horizontal="center" vertical="center"/>
    </xf>
    <xf numFmtId="304" fontId="66" fillId="5" borderId="8" xfId="0" applyFont="1" applyFill="1" applyBorder="1" applyAlignment="1">
      <alignment horizontal="center" vertical="center"/>
    </xf>
    <xf numFmtId="303" fontId="66" fillId="5" borderId="8" xfId="0" applyNumberFormat="1" applyFont="1" applyFill="1" applyBorder="1" applyAlignment="1">
      <alignment horizontal="center" vertical="center"/>
    </xf>
    <xf numFmtId="304" fontId="39" fillId="6" borderId="8" xfId="0" applyFont="1" applyFill="1" applyBorder="1" applyAlignment="1">
      <alignment horizontal="center" vertical="center"/>
    </xf>
    <xf numFmtId="303" fontId="20" fillId="5" borderId="8" xfId="0" applyNumberFormat="1" applyFont="1" applyFill="1" applyBorder="1" applyAlignment="1">
      <alignment horizontal="center" vertical="center"/>
    </xf>
    <xf numFmtId="303" fontId="20" fillId="6" borderId="8" xfId="0" applyNumberFormat="1" applyFont="1" applyFill="1" applyBorder="1" applyAlignment="1">
      <alignment horizontal="center" vertical="center"/>
    </xf>
    <xf numFmtId="304" fontId="66" fillId="6" borderId="8" xfId="0" applyFont="1" applyFill="1" applyBorder="1" applyAlignment="1">
      <alignment horizontal="center" vertical="center" wrapText="1"/>
    </xf>
    <xf numFmtId="303" fontId="66" fillId="5" borderId="45" xfId="0" applyNumberFormat="1" applyFont="1" applyFill="1" applyBorder="1" applyAlignment="1">
      <alignment horizontal="center" vertical="center"/>
    </xf>
    <xf numFmtId="303" fontId="66" fillId="6" borderId="45" xfId="0" applyNumberFormat="1" applyFont="1" applyFill="1" applyBorder="1" applyAlignment="1">
      <alignment horizontal="center" vertical="center"/>
    </xf>
    <xf numFmtId="304" fontId="67" fillId="6" borderId="8" xfId="0" applyFont="1" applyFill="1" applyBorder="1" applyAlignment="1">
      <alignment horizontal="center" vertical="center"/>
    </xf>
    <xf numFmtId="0" fontId="20" fillId="5" borderId="47" xfId="0" applyNumberFormat="1" applyFont="1" applyFill="1" applyBorder="1" applyAlignment="1">
      <alignment horizontal="center" vertical="center"/>
    </xf>
    <xf numFmtId="0" fontId="66" fillId="5" borderId="8" xfId="0" applyNumberFormat="1" applyFont="1" applyFill="1" applyBorder="1" applyAlignment="1">
      <alignment horizontal="center" vertical="center"/>
    </xf>
    <xf numFmtId="304" fontId="32" fillId="6" borderId="7" xfId="0" applyFont="1" applyFill="1" applyBorder="1" applyAlignment="1">
      <alignment horizontal="center" vertical="center"/>
    </xf>
    <xf numFmtId="303" fontId="66" fillId="17" borderId="8" xfId="0" applyNumberFormat="1" applyFont="1" applyFill="1" applyBorder="1" applyAlignment="1">
      <alignment horizontal="center" vertical="center"/>
    </xf>
    <xf numFmtId="0" fontId="20" fillId="26" borderId="7" xfId="0" applyNumberFormat="1" applyFont="1" applyFill="1" applyBorder="1" applyAlignment="1">
      <alignment horizontal="center" vertical="center"/>
    </xf>
    <xf numFmtId="304" fontId="66" fillId="26" borderId="8" xfId="0" applyFont="1" applyFill="1" applyBorder="1" applyAlignment="1">
      <alignment horizontal="center" vertical="center"/>
    </xf>
    <xf numFmtId="304" fontId="20" fillId="17" borderId="47" xfId="0" applyFont="1" applyFill="1" applyBorder="1" applyAlignment="1">
      <alignment horizontal="center" vertical="center"/>
    </xf>
    <xf numFmtId="0" fontId="68" fillId="17" borderId="8" xfId="0" applyNumberFormat="1" applyFont="1" applyFill="1" applyBorder="1" applyAlignment="1">
      <alignment horizontal="center" vertical="center" wrapText="1"/>
    </xf>
    <xf numFmtId="303" fontId="66" fillId="17" borderId="45" xfId="0" applyNumberFormat="1" applyFont="1" applyFill="1" applyBorder="1" applyAlignment="1">
      <alignment horizontal="center" vertical="center"/>
    </xf>
    <xf numFmtId="0" fontId="69" fillId="6" borderId="8" xfId="0" applyNumberFormat="1" applyFont="1" applyFill="1" applyBorder="1" applyAlignment="1">
      <alignment horizontal="center" vertical="center"/>
    </xf>
    <xf numFmtId="304" fontId="58" fillId="6" borderId="7" xfId="0" applyFont="1" applyFill="1" applyBorder="1" applyAlignment="1">
      <alignment horizontal="center" vertical="center"/>
    </xf>
    <xf numFmtId="304" fontId="70" fillId="17" borderId="48" xfId="0" applyFont="1" applyFill="1" applyBorder="1" applyAlignment="1">
      <alignment horizontal="center" vertical="center"/>
    </xf>
    <xf numFmtId="304" fontId="70" fillId="17" borderId="49" xfId="0" applyFont="1" applyFill="1" applyBorder="1" applyAlignment="1">
      <alignment horizontal="center" vertical="center"/>
    </xf>
    <xf numFmtId="0" fontId="68" fillId="5" borderId="8" xfId="0" applyNumberFormat="1" applyFont="1" applyFill="1" applyBorder="1" applyAlignment="1">
      <alignment horizontal="center" vertical="center" wrapText="1"/>
    </xf>
    <xf numFmtId="0" fontId="62" fillId="5" borderId="7" xfId="0" applyNumberFormat="1" applyFont="1" applyFill="1" applyBorder="1" applyAlignment="1">
      <alignment horizontal="center" vertical="center"/>
    </xf>
    <xf numFmtId="303" fontId="37" fillId="17" borderId="9" xfId="0" applyNumberFormat="1" applyFont="1" applyFill="1" applyBorder="1" applyAlignment="1">
      <alignment horizontal="center" vertical="center"/>
    </xf>
    <xf numFmtId="303" fontId="37" fillId="6" borderId="9" xfId="0" applyNumberFormat="1" applyFont="1" applyFill="1" applyBorder="1" applyAlignment="1">
      <alignment horizontal="center" vertical="center"/>
    </xf>
    <xf numFmtId="0" fontId="71" fillId="6" borderId="7" xfId="0" applyNumberFormat="1" applyFont="1" applyFill="1" applyBorder="1" applyAlignment="1">
      <alignment horizontal="center" vertical="center"/>
    </xf>
    <xf fontId="68" fillId="17" borderId="8" xfId="0">
      <alignment horizontal="center" vertical="center" wrapText="1"/>
    </xf>
    <xf fontId="66" fillId="17" borderId="8" xfId="0">
      <alignment horizontal="center" vertical="center"/>
    </xf>
    <xf numFmtId="0" fontId="66" fillId="17" borderId="8" xfId="0" applyNumberFormat="1" applyFont="1" applyFill="1" applyBorder="1" applyAlignment="1">
      <alignment horizontal="center" vertical="center"/>
    </xf>
    <xf numFmtId="304" fontId="20" fillId="9" borderId="8" xfId="0" applyFont="1" applyFill="1" applyBorder="1" applyAlignment="1">
      <alignment horizontal="center" vertical="center"/>
    </xf>
    <xf numFmtId="304" fontId="66" fillId="9" borderId="8" xfId="0" applyFont="1" applyFill="1" applyBorder="1" applyAlignment="1">
      <alignment horizontal="center" vertical="center"/>
    </xf>
    <xf numFmtId="304" fontId="72" fillId="12" borderId="7" xfId="0" applyFont="1" applyFill="1" applyBorder="1" applyAlignment="1">
      <alignment horizontal="center" vertical="center"/>
    </xf>
    <xf numFmtId="304" fontId="62" fillId="11" borderId="7" xfId="0" applyFont="1" applyFill="1" applyBorder="1" applyAlignment="1">
      <alignment horizontal="center" vertical="center"/>
    </xf>
    <xf numFmtId="0" fontId="62" fillId="11" borderId="7" xfId="0" applyNumberFormat="1" applyFont="1" applyFill="1" applyBorder="1" applyAlignment="1">
      <alignment horizontal="center" vertical="center"/>
    </xf>
    <xf numFmtId="303" fontId="62" fillId="11" borderId="7" xfId="0" applyNumberFormat="1" applyFont="1" applyFill="1" applyBorder="1" applyAlignment="1">
      <alignment horizontal="center" vertical="center"/>
    </xf>
    <xf numFmtId="303" fontId="62" fillId="12" borderId="7" xfId="0" applyNumberFormat="1" applyFont="1" applyFill="1" applyBorder="1" applyAlignment="1">
      <alignment horizontal="center" vertical="center"/>
    </xf>
    <xf numFmtId="304" fontId="62" fillId="12" borderId="7" xfId="0" applyFont="1" applyFill="1" applyBorder="1" applyAlignment="1">
      <alignment horizontal="center" vertical="center" wrapText="1"/>
    </xf>
    <xf numFmtId="303" fontId="62" fillId="5" borderId="7" xfId="0" applyNumberFormat="1" applyFont="1" applyFill="1" applyBorder="1" applyAlignment="1">
      <alignment horizontal="center" vertical="center"/>
    </xf>
    <xf numFmtId="303" fontId="62" fillId="6" borderId="7" xfId="0" applyNumberFormat="1" applyFont="1" applyFill="1" applyBorder="1" applyAlignment="1">
      <alignment horizontal="center" vertical="center"/>
    </xf>
    <xf numFmtId="304" fontId="62" fillId="6" borderId="7" xfId="0" applyFont="1" applyFill="1" applyBorder="1" applyAlignment="1">
      <alignment horizontal="center" vertical="center" wrapText="1"/>
    </xf>
    <xf numFmtId="0" fontId="66" fillId="5" borderId="7" xfId="0">
      <alignment horizontal="center" vertical="center"/>
    </xf>
    <xf numFmtId="303" fontId="66" fillId="6" borderId="8" xfId="0">
      <alignment horizontal="center" vertical="center"/>
    </xf>
    <xf numFmtId="304" fontId="66" fillId="5" borderId="7" xfId="0" applyFont="1" applyFill="1" applyBorder="1" applyAlignment="1">
      <alignment horizontal="center" vertical="center"/>
    </xf>
    <xf numFmtId="0" fontId="66" fillId="5" borderId="7" xfId="0" applyNumberFormat="1" applyFont="1" applyFill="1" applyBorder="1" applyAlignment="1">
      <alignment horizontal="center" vertical="center"/>
    </xf>
    <xf numFmtId="304" fontId="66" fillId="5" borderId="8" xfId="0" applyFont="1" applyFill="1" applyBorder="1" applyAlignment="1">
      <alignment horizontal="center" vertical="center" wrapText="1"/>
    </xf>
    <xf numFmtId="304" fontId="66" fillId="6" borderId="7" xfId="0" applyFont="1" applyFill="1" applyBorder="1" applyAlignment="1">
      <alignment horizontal="center" vertical="center"/>
    </xf>
    <xf numFmtId="304" fontId="67" fillId="6" borderId="7" xfId="0" applyFont="1" applyFill="1" applyBorder="1" applyAlignment="1">
      <alignment horizontal="center" vertical="center"/>
    </xf>
    <xf numFmtId="304" fontId="66" fillId="5" borderId="33" xfId="0" applyFont="1" applyFill="1" applyBorder="1" applyAlignment="1">
      <alignment horizontal="center" vertical="center"/>
    </xf>
    <xf numFmtId="0" fontId="62" fillId="11" borderId="7" xfId="0">
      <alignment horizontal="center" vertical="center"/>
    </xf>
    <xf numFmtId="303" fontId="62" fillId="12" borderId="7" xfId="0" applyNumberFormat="1" applyFont="1" applyFill="1" applyBorder="1" applyAlignment="1">
      <alignment horizontal="left" vertical="center" wrapText="1" indent="1"/>
    </xf>
    <xf numFmtId="304" fontId="62" fillId="12" borderId="7" xfId="0" applyFont="1" applyFill="1" applyBorder="1" applyAlignment="1">
      <alignment horizontal="center" vertical="center"/>
    </xf>
    <xf numFmtId="304" fontId="62" fillId="6" borderId="7" xfId="0" applyFont="1" applyFill="1" applyBorder="1" applyAlignment="1">
      <alignment horizontal="center" vertical="center"/>
    </xf>
    <xf numFmtId="0" fontId="66" fillId="6" borderId="7" xfId="0" applyNumberFormat="1" applyFont="1" applyFill="1" applyBorder="1" applyAlignment="1">
      <alignment horizontal="center" vertical="center"/>
    </xf>
    <xf numFmtId="0" fontId="66" fillId="6" borderId="7" xfId="0">
      <alignment horizontal="center" vertical="center"/>
    </xf>
    <xf numFmtId="0" fontId="19" fillId="6" borderId="21" xfId="0" applyNumberFormat="1" applyFont="1" applyFill="1" applyBorder="1" applyAlignment="1">
      <alignment horizontal="center" vertical="center"/>
    </xf>
    <xf numFmtId="0" fontId="31" fillId="9" borderId="7" xfId="0" applyNumberFormat="1" applyFont="1" applyFill="1" applyBorder="1" applyAlignment="1">
      <alignment horizontal="center" vertical="center"/>
    </xf>
    <xf numFmtId="0" fontId="31" fillId="9" borderId="7" xfId="0" applyNumberFormat="1" applyFont="1" applyFill="1" applyBorder="1" applyAlignment="1">
      <alignment horizontal="center" vertical="center" wrapText="1"/>
    </xf>
    <xf fontId="31" fillId="27" borderId="7" xfId="0">
      <alignment horizontal="center" vertical="center"/>
    </xf>
    <xf numFmtId="0" fontId="31" fillId="27" borderId="7" xfId="0">
      <alignment horizontal="center" vertical="center"/>
    </xf>
    <xf numFmtId="302" fontId="31" fillId="27" borderId="7" xfId="0">
      <alignment horizontal="center" vertical="center"/>
    </xf>
    <xf numFmtId="67" fontId="31" fillId="27" borderId="7" xfId="0">
      <alignment horizontal="center" vertical="center"/>
    </xf>
    <xf numFmtId="302" fontId="31" fillId="27" borderId="18" xfId="0">
      <alignment horizontal="center" vertical="center"/>
    </xf>
    <xf fontId="31" fillId="28" borderId="18" xfId="0">
      <alignment horizontal="center" vertical="center"/>
    </xf>
    <xf numFmtId="0" fontId="31" fillId="28" borderId="7" xfId="0">
      <alignment horizontal="center" vertical="center"/>
    </xf>
    <xf numFmtId="302" fontId="31" fillId="28" borderId="7" xfId="0">
      <alignment horizontal="center" vertical="center"/>
    </xf>
    <xf numFmtId="67" fontId="31" fillId="28" borderId="7" xfId="0">
      <alignment horizontal="center" vertical="center"/>
    </xf>
    <xf numFmtId="302" fontId="31" fillId="28" borderId="18" xfId="0">
      <alignment horizontal="center" vertical="center"/>
    </xf>
    <xf fontId="31" fillId="28" borderId="7" xfId="0">
      <alignment horizontal="center" vertical="center"/>
    </xf>
    <xf numFmtId="0" fontId="31" fillId="28" borderId="7" xfId="0">
      <alignment horizontal="center" vertical="center"/>
    </xf>
    <xf numFmtId="302" fontId="31" fillId="28" borderId="7" xfId="0">
      <alignment horizontal="center" vertical="center"/>
    </xf>
    <xf fontId="20" fillId="27" borderId="33" xfId="0">
      <alignment horizontal="center" vertical="center"/>
    </xf>
    <xf fontId="20" fillId="27" borderId="7" xfId="0">
      <alignment horizontal="center" vertical="center"/>
    </xf>
    <xf numFmtId="0" fontId="20" fillId="27" borderId="7" xfId="0">
      <alignment horizontal="center" vertical="center"/>
    </xf>
    <xf numFmtId="302" fontId="20" fillId="27" borderId="7" xfId="0">
      <alignment horizontal="center" vertical="center"/>
    </xf>
    <xf numFmtId="67" fontId="20" fillId="27" borderId="7" xfId="0">
      <alignment horizontal="center" vertical="center"/>
    </xf>
    <xf numFmtId="302" fontId="20" fillId="27" borderId="18" xfId="0">
      <alignment horizontal="center" vertical="center"/>
    </xf>
    <xf fontId="31" fillId="28" borderId="33" xfId="0">
      <alignment horizontal="center" vertical="center"/>
    </xf>
    <xf fontId="31" fillId="28" borderId="7" xfId="0">
      <alignment horizontal="center" vertical="center"/>
    </xf>
    <xf numFmtId="0" fontId="31" fillId="28" borderId="7" xfId="0">
      <alignment horizontal="center" vertical="center" wrapText="1"/>
    </xf>
    <xf numFmtId="302" fontId="31" fillId="28" borderId="7" xfId="0">
      <alignment horizontal="center" vertical="center" wrapText="1"/>
    </xf>
    <xf numFmtId="67" fontId="31" fillId="28" borderId="7" xfId="0">
      <alignment horizontal="center" vertical="center" wrapText="1"/>
    </xf>
    <xf numFmtId="302" fontId="31" fillId="28" borderId="18" xfId="0">
      <alignment horizontal="center" vertical="center"/>
    </xf>
    <xf fontId="34" fillId="6" borderId="9" xfId="0">
      <alignment horizontal="center" vertical="center"/>
    </xf>
    <xf fontId="31" fillId="7" borderId="33" xfId="0">
      <alignment horizontal="center" vertical="center"/>
    </xf>
    <xf fontId="31" fillId="7" borderId="38" xfId="0">
      <alignment horizontal="center" vertical="center"/>
    </xf>
    <xf numFmtId="0" fontId="57" fillId="0" borderId="22" xfId="0">
      <alignment horizontal="center" vertical="center"/>
    </xf>
    <xf fontId="31" fillId="7" borderId="7" xfId="0">
      <alignment/>
    </xf>
    <xf fontId="31" fillId="7" borderId="7" xfId="0">
      <alignment horizontal="center"/>
    </xf>
    <xf fontId="31" fillId="27" borderId="33" xfId="0">
      <alignment horizontal="center" vertical="center"/>
    </xf>
    <xf numFmtId="67" fontId="20" fillId="5" borderId="7" xfId="0">
      <alignment/>
    </xf>
    <xf numFmtId="0" fontId="57" fillId="0" borderId="22" xfId="0"/>
    <xf fontId="31" fillId="27" borderId="38" xfId="0">
      <alignment horizontal="center" vertical="center"/>
    </xf>
    <xf numFmtId="0" fontId="31" fillId="27" borderId="7" xfId="0">
      <alignment horizontal="center" vertical="center" wrapText="1"/>
    </xf>
    <xf numFmtId="302" fontId="31" fillId="27" borderId="7" xfId="0">
      <alignment horizontal="center" vertical="center" wrapText="1"/>
    </xf>
    <xf numFmtId="67" fontId="31" fillId="27" borderId="7" xfId="0">
      <alignment horizontal="center" vertical="center" wrapText="1"/>
    </xf>
    <xf fontId="34" fillId="6" borderId="35" xfId="0"/>
    <xf fontId="34" fillId="6" borderId="9" xfId="0"/>
    <xf fontId="58" fillId="12" borderId="7" xfId="0">
      <alignment horizontal="center" vertical="center"/>
    </xf>
    <xf numFmtId="0" fontId="31" fillId="0" borderId="7" xfId="0"/>
    <xf fontId="34" fillId="12" borderId="9" xfId="0"/>
    <xf fontId="34" fillId="12" borderId="21" xfId="0">
      <alignment horizontal="center" vertical="center"/>
    </xf>
    <xf fontId="31" fillId="28" borderId="33" xfId="0">
      <alignment horizontal="center" vertical="center"/>
    </xf>
    <xf fontId="45" fillId="18" borderId="38" xfId="0"/>
    <xf fontId="31" fillId="28" borderId="7" xfId="0">
      <alignment horizontal="center" vertical="center"/>
    </xf>
    <xf numFmtId="0" fontId="31" fillId="28" borderId="7" xfId="0">
      <alignment horizontal="center" vertical="center" wrapText="1"/>
    </xf>
    <xf numFmtId="302" fontId="31" fillId="28" borderId="7" xfId="0">
      <alignment horizontal="center" vertical="center" wrapText="1"/>
    </xf>
    <xf numFmtId="67" fontId="31" fillId="28" borderId="7" xfId="0">
      <alignment horizontal="center" vertical="center" wrapText="1"/>
    </xf>
    <xf fontId="34" fillId="12" borderId="9" xfId="0">
      <alignment horizontal="center" vertical="center"/>
    </xf>
    <xf fontId="45" fillId="18" borderId="9" xfId="0"/>
    <xf fontId="45" fillId="18" borderId="48" xfId="0"/>
    <xf fontId="45" fillId="18" borderId="49" xfId="0"/>
    <xf fontId="34" fillId="12" borderId="7" xfId="0">
      <alignment horizontal="center" vertical="center"/>
    </xf>
    <xf fontId="35" fillId="12" borderId="7" xfId="0">
      <alignment horizontal="center" vertical="center"/>
    </xf>
    <xf numFmtId="0" fontId="57" fillId="18" borderId="0" xfId="0"/>
    <xf fontId="60" fillId="12" borderId="7" xfId="0">
      <alignment horizontal="center" vertical="center"/>
    </xf>
    <xf numFmtId="0" fontId="31" fillId="18" borderId="7" xfId="0"/>
    <xf numFmtId="0" fontId="31" fillId="19" borderId="7" xfId="0" applyNumberFormat="1" applyFont="1" applyFill="1" applyBorder="1"/>
    <xf numFmtId="302" fontId="31" fillId="19" borderId="18" xfId="0">
      <alignment horizontal="center" vertical="center"/>
    </xf>
    <xf numFmtId="302" fontId="20" fillId="4" borderId="18" xfId="0">
      <alignment horizontal="center" vertical="center"/>
    </xf>
    <xf numFmtId="302" fontId="31" fillId="4" borderId="18" xfId="0">
      <alignment horizontal="center" vertical="center"/>
    </xf>
    <xf numFmtId="0" fontId="31" fillId="11" borderId="7" xfId="0" applyNumberFormat="1" applyFont="1" applyFill="1" applyBorder="1"/>
    <xf numFmtId="302" fontId="31" fillId="19" borderId="18" xfId="0">
      <alignment horizontal="center" vertical="center" wrapText="1"/>
    </xf>
    <xf fontId="0" fillId="2" borderId="0" xfId="0"/>
    <xf fontId="0" fillId="2" borderId="7" xfId="0"/>
    <xf fontId="73" fillId="2" borderId="0" xfId="0"/>
    <xf numFmtId="304" fontId="21" fillId="17" borderId="15" xfId="0" applyNumberFormat="1" applyFont="1" applyFill="1" applyBorder="1" applyAlignment="1">
      <alignment horizontal="center" vertical="center"/>
    </xf>
    <xf numFmtId="304" fontId="37" fillId="17" borderId="22" xfId="0" applyNumberFormat="1" applyFont="1" applyFill="1" applyBorder="1" applyAlignment="1">
      <alignment horizontal="center" vertical="center"/>
    </xf>
    <xf numFmtId="304" fontId="75" fillId="0" borderId="50" xfId="0"/>
    <xf numFmtId="304" fontId="64" fillId="17" borderId="50" xfId="0" applyNumberFormat="1" applyFont="1" applyFill="1" applyBorder="1" applyAlignment="1">
      <alignment horizontal="center" vertical="center"/>
    </xf>
    <xf numFmtId="304" fontId="64" fillId="17" borderId="15" xfId="0" applyNumberFormat="1" applyFont="1" applyFill="1" applyBorder="1" applyAlignment="1">
      <alignment horizontal="center" vertical="center"/>
    </xf>
    <xf numFmtId="304" fontId="64" fillId="17" borderId="51" xfId="0" applyNumberFormat="1" applyFont="1" applyFill="1" applyBorder="1" applyAlignment="1">
      <alignment horizontal="center" vertical="center"/>
    </xf>
    <xf numFmtId="304" fontId="57" fillId="17" borderId="22" xfId="0" applyNumberFormat="1" applyFont="1" applyFill="1" applyBorder="1" applyAlignment="1">
      <alignment horizontal="center" vertical="center"/>
    </xf>
    <xf numFmtId="305" fontId="64" fillId="17" borderId="50" xfId="0" applyNumberFormat="1" applyFont="1" applyFill="1" applyBorder="1" applyAlignment="1">
      <alignment horizontal="center" vertical="center"/>
    </xf>
    <xf numFmtId="304" fontId="74" fillId="17" borderId="52" xfId="0" applyNumberFormat="1" applyFont="1" applyFill="1" applyBorder="1" applyAlignment="1">
      <alignment horizontal="center"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4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5" Type="http://schemas.openxmlformats.org/officeDocument/2006/relationships/worksheet" Target="worksheets/sheet3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hyperlink" Target="https://oldcucumber.github.io/Apex_TTK-HIT_Curve/" TargetMode="External"/></Relationships>
</file>

<file path=xl/worksheets/_rels/sheet2.xml.rels><?xml version="1.0" encoding="UTF-8" standalone="yes"?><Relationships xmlns="http://schemas.openxmlformats.org/package/2006/relationships"><Relationship Id="rId0" Type="http://schemas.openxmlformats.org/officeDocument/2006/relationships/hyperlink" Target="https://oldcucumber.github.io/Apex_TTK-HIT_Curve/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TTK排行榜"/>
  <dimension ref="T63"/>
  <sheetViews>
    <sheetView showGridLines="1" tabSelected="0" zoomScale="40" zoomScaleNormal="40" workbookViewId="0">
      <pane ySplit="8" topLeftCell="A9" state="frozen"/>
    </sheetView>
  </sheetViews>
  <sheetFormatPr baseColWidth="8" defaultRowHeight="34" customHeight="1"/>
  <cols>
    <col min="1" max="1" width="12.1641" style="621" customWidth="1"/>
    <col min="2" max="2" width="10.3828" style="621" customWidth="1"/>
    <col min="3" max="3" width="9.75" style="621" customWidth="1"/>
    <col min="4" max="4" width="17.4141" style="621" customWidth="1"/>
    <col min="5" max="5" width="17.1016" style="622" customWidth="1"/>
    <col min="6" max="6" width="11.582" style="621" customWidth="1"/>
    <col min="7" max="7" width="16.4922" style="622" customWidth="1"/>
    <col min="8" max="8" width="11.582" style="621" customWidth="1"/>
    <col min="9" max="9" width="17.9648" style="622" customWidth="1"/>
    <col min="10" max="10" width="15.582" style="621" customWidth="1"/>
    <col min="11" max="14" width="10.582" style="621" customWidth="1"/>
    <col min="15" max="16" width="14.582" style="621" customWidth="1"/>
    <col min="17" max="17" width="14.582" style="623" customWidth="1"/>
    <col min="18" max="18" width="14.582" style="621" customWidth="1"/>
    <col min="19" max="19" width="14.582" style="624" customWidth="1"/>
    <col min="20" max="20" width="64.0547" style="621" customWidth="1"/>
  </cols>
  <sheetData>
    <row r="1" spans="1:20" s="615" customFormat="1" ht="44.25" customHeight="1">
      <c r="A1" s="4" t="s">
        <v>1</v>
      </c>
      <c r="B1" s="5" t="s"/>
      <c r="C1" s="5" t="s"/>
      <c r="D1" s="5" t="s"/>
      <c r="E1" s="6" t="s"/>
      <c r="F1" s="5" t="s"/>
      <c r="G1" s="6" t="s"/>
      <c r="H1" s="5" t="s"/>
      <c r="I1" s="6" t="s"/>
      <c r="J1" s="5" t="s"/>
      <c r="K1" s="5" t="s"/>
      <c r="L1" s="5" t="s"/>
      <c r="M1" s="5" t="s"/>
      <c r="N1" s="5" t="s"/>
      <c r="O1" s="5" t="s"/>
      <c r="P1" s="5" t="s"/>
      <c r="Q1" s="5" t="s"/>
      <c r="R1" s="5" t="s"/>
      <c r="S1" s="7" t="s"/>
      <c r="T1" s="5" t="s"/>
    </row>
    <row r="2" spans="1:20" s="616" customFormat="1" ht="30" customHeight="1">
      <c r="A2" s="8" t="s">
        <v>2</v>
      </c>
      <c r="B2" s="9" t="s"/>
      <c r="C2" s="9" t="s"/>
      <c r="D2" s="9" t="s"/>
      <c r="E2" s="9" t="s"/>
      <c r="F2" s="9" t="s"/>
      <c r="G2" s="9" t="s"/>
      <c r="H2" s="9" t="s"/>
      <c r="I2" s="9" t="s"/>
      <c r="J2" s="9" t="s"/>
      <c r="K2" s="9" t="s"/>
      <c r="L2" s="9" t="s"/>
      <c r="M2" s="9" t="s"/>
      <c r="N2" s="9" t="s"/>
      <c r="O2" s="9" t="s"/>
      <c r="P2" s="9" t="s"/>
      <c r="Q2" s="9" t="s"/>
      <c r="R2" s="9" t="s"/>
      <c r="S2" s="10" t="s"/>
      <c r="T2" s="9" t="s"/>
    </row>
    <row r="3" spans="1:20" s="615" customFormat="1" ht="30" hidden="1" customHeight="1">
      <c r="A3" s="11" t="s">
        <v>422</v>
      </c>
      <c r="B3" s="9" t="s"/>
      <c r="C3" s="9" t="s"/>
      <c r="D3" s="9" t="s"/>
      <c r="E3" s="9" t="s"/>
      <c r="F3" s="9" t="s"/>
      <c r="G3" s="9" t="s"/>
      <c r="H3" s="9" t="s"/>
      <c r="I3" s="9" t="s"/>
      <c r="J3" s="9" t="s"/>
      <c r="K3" s="9" t="s"/>
      <c r="L3" s="9" t="s"/>
      <c r="M3" s="9" t="s"/>
      <c r="N3" s="9" t="s"/>
      <c r="O3" s="9" t="s"/>
      <c r="P3" s="9" t="s"/>
      <c r="Q3" s="9" t="s"/>
      <c r="R3" s="9" t="s"/>
      <c r="S3" s="12" t="s"/>
      <c r="T3" s="9" t="s"/>
    </row>
    <row r="4" spans="1:20" s="617" customFormat="1" ht="27.75" hidden="1" customHeight="1">
      <c r="A4" s="13" t="s">
        <v>3</v>
      </c>
      <c r="B4" s="9" t="s"/>
      <c r="C4" s="9" t="s"/>
      <c r="D4" s="9" t="s"/>
      <c r="E4" s="9" t="s"/>
      <c r="F4" s="9" t="s"/>
      <c r="G4" s="9" t="s"/>
      <c r="H4" s="9" t="s"/>
      <c r="I4" s="14" t="s">
        <v>4</v>
      </c>
      <c r="J4" s="9" t="s"/>
      <c r="K4" s="9" t="s"/>
      <c r="L4" s="9" t="s"/>
      <c r="M4" s="9" t="s"/>
      <c r="N4" s="9" t="s"/>
      <c r="O4" s="9" t="s"/>
      <c r="P4" s="9" t="s"/>
      <c r="Q4" s="15" t="s">
        <v>5</v>
      </c>
      <c r="R4" s="16" t="s"/>
      <c r="S4" s="17" t="s"/>
      <c r="T4" s="18" t="s"/>
    </row>
    <row r="5" spans="1:20" s="617" customFormat="1" ht="176.25" hidden="1" customHeight="1">
      <c r="A5" s="19" t="s"/>
      <c r="B5" s="20" t="s"/>
      <c r="C5" s="20" t="s"/>
      <c r="D5" s="20" t="s"/>
      <c r="E5" s="20" t="s"/>
      <c r="F5" s="20" t="s"/>
      <c r="G5" s="20" t="s"/>
      <c r="H5" s="20" t="s"/>
      <c r="I5" s="21" t="s"/>
      <c r="J5" s="20" t="s"/>
      <c r="K5" s="20" t="s"/>
      <c r="L5" s="20" t="s"/>
      <c r="M5" s="20" t="s"/>
      <c r="N5" s="20" t="s"/>
      <c r="O5" s="20" t="s"/>
      <c r="P5" s="20" t="s"/>
      <c r="Q5" s="22" t="s"/>
      <c r="R5" s="20" t="s"/>
      <c r="S5" s="23" t="s"/>
      <c r="T5" s="20" t="s"/>
    </row>
    <row r="6" spans="1:20" s="615" customFormat="1" ht="26.25" customHeight="1">
      <c r="A6" s="24" t="s">
        <v>423</v>
      </c>
      <c r="B6" s="25" t="s">
        <v>6</v>
      </c>
      <c r="C6" s="26" t="s"/>
      <c r="D6" s="26" t="s"/>
      <c r="E6" s="27" t="s">
        <v>7</v>
      </c>
      <c r="F6" s="28" t="s"/>
      <c r="G6" s="28" t="s"/>
      <c r="H6" s="28" t="s"/>
      <c r="I6" s="28" t="s"/>
      <c r="J6" s="27" t="s">
        <v>8</v>
      </c>
      <c r="K6" s="27" t="s">
        <v>9</v>
      </c>
      <c r="L6" s="28" t="s"/>
      <c r="M6" s="28" t="s"/>
      <c r="N6" s="28" t="s"/>
      <c r="O6" s="29" t="s">
        <v>10</v>
      </c>
      <c r="P6" s="28" t="s"/>
      <c r="Q6" s="28" t="s"/>
      <c r="R6" s="28" t="s"/>
      <c r="S6" s="30" t="s">
        <v>424</v>
      </c>
      <c r="T6" s="31" t="s">
        <v>11</v>
      </c>
    </row>
    <row r="7" spans="1:20" s="615" customFormat="1" ht="24" customHeight="1">
      <c r="A7" s="32" t="s"/>
      <c r="B7" s="32" t="s"/>
      <c r="C7" s="32" t="s"/>
      <c r="D7" s="32" t="s"/>
      <c r="E7" s="24" t="s">
        <v>12</v>
      </c>
      <c r="F7" s="33" t="s">
        <v>13</v>
      </c>
      <c r="G7" s="34" t="s"/>
      <c r="H7" s="33" t="s">
        <v>14</v>
      </c>
      <c r="I7" s="34" t="s"/>
      <c r="J7" s="35" t="s"/>
      <c r="K7" s="36" t="s">
        <v>15</v>
      </c>
      <c r="L7" s="36" t="s">
        <v>16</v>
      </c>
      <c r="M7" s="36" t="s">
        <v>17</v>
      </c>
      <c r="N7" s="36" t="s">
        <v>18</v>
      </c>
      <c r="O7" s="36" t="s">
        <v>15</v>
      </c>
      <c r="P7" s="36" t="s">
        <v>16</v>
      </c>
      <c r="Q7" s="36" t="s">
        <v>17</v>
      </c>
      <c r="R7" s="36" t="s">
        <v>18</v>
      </c>
      <c r="S7" s="37" t="s"/>
      <c r="T7" s="32" t="s"/>
    </row>
    <row r="8" spans="1:20" s="615" customFormat="1" ht="27" customHeight="1">
      <c r="A8" s="32" t="s"/>
      <c r="B8" s="32" t="s"/>
      <c r="C8" s="32" t="s"/>
      <c r="D8" s="32" t="s"/>
      <c r="E8" s="34" t="s"/>
      <c r="F8" s="36" t="s">
        <v>19</v>
      </c>
      <c r="G8" s="36" t="s">
        <v>20</v>
      </c>
      <c r="H8" s="36" t="s">
        <v>19</v>
      </c>
      <c r="I8" s="36" t="s">
        <v>20</v>
      </c>
      <c r="J8" s="35" t="s"/>
      <c r="K8" s="38" t="s"/>
      <c r="L8" s="38" t="s"/>
      <c r="M8" s="38" t="s"/>
      <c r="N8" s="38" t="s"/>
      <c r="O8" s="38" t="s"/>
      <c r="P8" s="38" t="s"/>
      <c r="Q8" s="38" t="s"/>
      <c r="R8" s="38" t="s"/>
      <c r="S8" s="37" t="s"/>
      <c r="T8" s="32" t="s"/>
    </row>
    <row r="9" spans="1:20" ht="38" customHeight="1">
      <c r="A9" s="39">
        <v>1</v>
      </c>
      <c r="B9" s="40" t="s">
        <v>21</v>
      </c>
      <c r="C9" s="41" t="s"/>
      <c r="D9" s="41" t="s"/>
      <c r="E9" s="40">
        <v>14</v>
      </c>
      <c r="F9" s="40" t="s">
        <v>22</v>
      </c>
      <c r="G9" s="40">
        <v>14</v>
      </c>
      <c r="H9" s="40" t="s">
        <v>23</v>
      </c>
      <c r="I9" s="40">
        <v>28</v>
      </c>
      <c r="J9" s="42">
        <v>173</v>
      </c>
      <c r="K9" s="42">
        <v>11</v>
      </c>
      <c r="L9" s="42">
        <v>13</v>
      </c>
      <c r="M9" s="42">
        <v>15</v>
      </c>
      <c r="N9" s="42">
        <v>17</v>
      </c>
      <c r="O9" s="43" t="s">
        <v>24</v>
      </c>
      <c r="P9" s="44" t="s">
        <v>25</v>
      </c>
      <c r="Q9" s="44" t="s">
        <v>26</v>
      </c>
      <c r="R9" s="45" t="s">
        <v>27</v>
      </c>
      <c r="S9" s="46">
        <v>280</v>
      </c>
      <c r="T9" s="47" t="s"/>
    </row>
    <row r="10" spans="1:20" s="618" customFormat="1" ht="58.5" customHeight="1">
      <c r="A10" s="48">
        <v>2</v>
      </c>
      <c r="B10" s="49" t="s">
        <v>28</v>
      </c>
      <c r="C10" s="50" t="s"/>
      <c r="D10" s="51" t="s">
        <v>29</v>
      </c>
      <c r="E10" s="52">
        <v>19</v>
      </c>
      <c r="F10" s="52" t="s">
        <v>30</v>
      </c>
      <c r="G10" s="53">
        <v>15</v>
      </c>
      <c r="H10" s="53" t="s">
        <v>31</v>
      </c>
      <c r="I10" s="54">
        <v>24</v>
      </c>
      <c r="J10" s="52" t="s">
        <v>32</v>
      </c>
      <c r="K10" s="52">
        <v>8</v>
      </c>
      <c r="L10" s="52">
        <v>10</v>
      </c>
      <c r="M10" s="55">
        <v>11</v>
      </c>
      <c r="N10" s="52">
        <v>12</v>
      </c>
      <c r="O10" s="52" t="s">
        <v>33</v>
      </c>
      <c r="P10" s="53" t="s">
        <v>34</v>
      </c>
      <c r="Q10" s="55" t="s">
        <v>35</v>
      </c>
      <c r="R10" s="52" t="s">
        <v>36</v>
      </c>
      <c r="S10" s="56">
        <v>209</v>
      </c>
      <c r="T10" s="57" t="s">
        <v>37</v>
      </c>
    </row>
    <row r="11" spans="1:20" s="618" customFormat="1" ht="57" customHeight="1">
      <c r="A11" s="50" t="s"/>
      <c r="B11" s="50" t="s"/>
      <c r="C11" s="50" t="s"/>
      <c r="D11" s="51" t="s">
        <v>38</v>
      </c>
      <c r="E11" s="58" t="s">
        <v>39</v>
      </c>
      <c r="F11" s="50" t="s"/>
      <c r="G11" s="51" t="s">
        <v>40</v>
      </c>
      <c r="H11" s="50" t="s"/>
      <c r="I11" s="59" t="s">
        <v>41</v>
      </c>
      <c r="J11" s="50" t="s"/>
      <c r="K11" s="58">
        <v>5</v>
      </c>
      <c r="L11" s="58">
        <v>6</v>
      </c>
      <c r="M11" s="60">
        <v>7</v>
      </c>
      <c r="N11" s="58">
        <v>8</v>
      </c>
      <c r="O11" s="58" t="s">
        <v>42</v>
      </c>
      <c r="P11" s="51" t="s">
        <v>43</v>
      </c>
      <c r="Q11" s="60" t="s">
        <v>44</v>
      </c>
      <c r="R11" s="58" t="s">
        <v>45</v>
      </c>
      <c r="S11" s="56">
        <v>240</v>
      </c>
      <c r="T11" s="61" t="s"/>
    </row>
    <row r="12" spans="1:20" s="618" customFormat="1" ht="37.5" customHeight="1">
      <c r="A12" s="62">
        <v>3</v>
      </c>
      <c r="B12" s="63" t="s">
        <v>46</v>
      </c>
      <c r="C12" s="64" t="s"/>
      <c r="D12" s="54" t="s">
        <v>47</v>
      </c>
      <c r="E12" s="53">
        <v>16</v>
      </c>
      <c r="F12" s="52" t="s">
        <v>48</v>
      </c>
      <c r="G12" s="53">
        <v>14</v>
      </c>
      <c r="H12" s="53" t="s">
        <v>31</v>
      </c>
      <c r="I12" s="53">
        <v>20</v>
      </c>
      <c r="J12" s="55" t="s">
        <v>49</v>
      </c>
      <c r="K12" s="52">
        <v>10</v>
      </c>
      <c r="L12" s="53">
        <v>11</v>
      </c>
      <c r="M12" s="53">
        <v>13</v>
      </c>
      <c r="N12" s="52">
        <v>15</v>
      </c>
      <c r="O12" s="55" t="s">
        <v>36</v>
      </c>
      <c r="P12" s="55" t="s">
        <v>50</v>
      </c>
      <c r="Q12" s="55" t="s">
        <v>51</v>
      </c>
      <c r="R12" s="55" t="s">
        <v>52</v>
      </c>
      <c r="S12" s="65">
        <v>128</v>
      </c>
      <c r="T12" s="66" t="s">
        <v>53</v>
      </c>
    </row>
    <row r="13" spans="1:20" s="618" customFormat="1" ht="36.75" customHeight="1">
      <c r="A13" s="67" t="s"/>
      <c r="B13" s="68" t="s"/>
      <c r="C13" s="68" t="s"/>
      <c r="D13" s="51" t="s">
        <v>54</v>
      </c>
      <c r="E13" s="51" t="s"/>
      <c r="F13" s="58" t="s"/>
      <c r="G13" s="51" t="s"/>
      <c r="H13" s="51" t="s"/>
      <c r="I13" s="51" t="s"/>
      <c r="J13" s="69" t="s"/>
      <c r="K13" s="58" t="s"/>
      <c r="L13" s="51" t="s"/>
      <c r="M13" s="51" t="s"/>
      <c r="N13" s="58" t="s"/>
      <c r="O13" s="58" t="s">
        <v>55</v>
      </c>
      <c r="P13" s="58" t="s">
        <v>56</v>
      </c>
      <c r="Q13" s="58" t="s">
        <v>57</v>
      </c>
      <c r="R13" s="58" t="s">
        <v>58</v>
      </c>
      <c r="S13" s="56">
        <v>192</v>
      </c>
      <c r="T13" s="70" t="s"/>
    </row>
    <row r="14" spans="1:20" s="618" customFormat="1" ht="38.25" customHeight="1">
      <c r="A14" s="71" t="s"/>
      <c r="B14" s="64" t="s"/>
      <c r="C14" s="64" t="s"/>
      <c r="D14" s="59" t="s">
        <v>59</v>
      </c>
      <c r="E14" s="64" t="s"/>
      <c r="F14" s="72" t="s"/>
      <c r="G14" s="64" t="s"/>
      <c r="H14" s="72" t="s"/>
      <c r="I14" s="64" t="s"/>
      <c r="J14" s="73" t="s"/>
      <c r="K14" s="73" t="s"/>
      <c r="L14" s="64" t="s"/>
      <c r="M14" s="64" t="s"/>
      <c r="N14" s="73" t="s"/>
      <c r="O14" s="59" t="s">
        <v>60</v>
      </c>
      <c r="P14" s="59" t="s">
        <v>61</v>
      </c>
      <c r="Q14" s="51" t="s">
        <v>62</v>
      </c>
      <c r="R14" s="53" t="s">
        <v>56</v>
      </c>
      <c r="S14" s="74">
        <v>256</v>
      </c>
      <c r="T14" s="75" t="s"/>
    </row>
    <row r="15" spans="1:20" s="618" customFormat="1" ht="50" customHeight="1">
      <c r="A15" s="48">
        <v>4</v>
      </c>
      <c r="B15" s="51" t="s">
        <v>63</v>
      </c>
      <c r="C15" s="50" t="s"/>
      <c r="D15" s="51" t="s">
        <v>64</v>
      </c>
      <c r="E15" s="60" t="s">
        <v>65</v>
      </c>
      <c r="F15" s="51" t="s">
        <v>22</v>
      </c>
      <c r="G15" s="60" t="s">
        <v>65</v>
      </c>
      <c r="H15" s="51" t="s">
        <v>31</v>
      </c>
      <c r="I15" s="58" t="s">
        <v>66</v>
      </c>
      <c r="J15" s="58">
        <v>10</v>
      </c>
      <c r="K15" s="60">
        <v>3</v>
      </c>
      <c r="L15" s="58">
        <v>4</v>
      </c>
      <c r="M15" s="60">
        <v>4</v>
      </c>
      <c r="N15" s="58">
        <v>5</v>
      </c>
      <c r="O15" s="58" t="s">
        <v>67</v>
      </c>
      <c r="P15" s="58" t="s">
        <v>55</v>
      </c>
      <c r="Q15" s="60" t="s">
        <v>55</v>
      </c>
      <c r="R15" s="58" t="s">
        <v>68</v>
      </c>
      <c r="S15" s="56">
        <v>204</v>
      </c>
      <c r="T15" s="76" t="s"/>
    </row>
    <row r="16" spans="1:20" s="618" customFormat="1" ht="50" customHeight="1">
      <c r="A16" s="50" t="s"/>
      <c r="B16" s="50" t="s"/>
      <c r="C16" s="50" t="s"/>
      <c r="D16" s="51" t="s">
        <v>69</v>
      </c>
      <c r="E16" s="50" t="s"/>
      <c r="F16" s="50" t="s"/>
      <c r="G16" s="50" t="s"/>
      <c r="H16" s="50" t="s"/>
      <c r="I16" s="50" t="s"/>
      <c r="J16" s="58">
        <v>12</v>
      </c>
      <c r="K16" s="50" t="s"/>
      <c r="L16" s="50" t="s"/>
      <c r="M16" s="50" t="s"/>
      <c r="N16" s="50" t="s"/>
      <c r="O16" s="58" t="s">
        <v>70</v>
      </c>
      <c r="P16" s="58" t="s">
        <v>71</v>
      </c>
      <c r="Q16" s="58" t="s">
        <v>71</v>
      </c>
      <c r="R16" s="58" t="s">
        <v>72</v>
      </c>
      <c r="S16" s="56">
        <v>204</v>
      </c>
      <c r="T16" s="61" t="s"/>
    </row>
    <row r="17" spans="1:20" ht="36.75" customHeight="1">
      <c r="A17" s="77" t="s">
        <v>73</v>
      </c>
      <c r="B17" s="78" t="s">
        <v>74</v>
      </c>
      <c r="C17" s="61" t="s"/>
      <c r="D17" s="79" t="s">
        <v>75</v>
      </c>
      <c r="E17" s="80">
        <v>19</v>
      </c>
      <c r="F17" s="81" t="s">
        <v>30</v>
      </c>
      <c r="G17" s="82">
        <v>16</v>
      </c>
      <c r="H17" s="81" t="s">
        <v>31</v>
      </c>
      <c r="I17" s="83">
        <v>24</v>
      </c>
      <c r="J17" s="84" t="s">
        <v>76</v>
      </c>
      <c r="K17" s="82">
        <v>8</v>
      </c>
      <c r="L17" s="83">
        <v>10</v>
      </c>
      <c r="M17" s="83">
        <v>11</v>
      </c>
      <c r="N17" s="82">
        <v>12</v>
      </c>
      <c r="O17" s="80" t="s">
        <v>77</v>
      </c>
      <c r="P17" s="80" t="s">
        <v>34</v>
      </c>
      <c r="Q17" s="80" t="s">
        <v>78</v>
      </c>
      <c r="R17" s="80" t="s">
        <v>79</v>
      </c>
      <c r="S17" s="85">
        <v>190</v>
      </c>
      <c r="T17" s="86" t="s">
        <v>80</v>
      </c>
    </row>
    <row r="18" spans="1:20" ht="36.75" customHeight="1">
      <c r="A18" s="61" t="s"/>
      <c r="B18" s="61" t="s"/>
      <c r="C18" s="61" t="s"/>
      <c r="D18" s="80" t="s">
        <v>81</v>
      </c>
      <c r="E18" s="61" t="s"/>
      <c r="F18" s="61" t="s"/>
      <c r="G18" s="61" t="s"/>
      <c r="H18" s="61" t="s"/>
      <c r="I18" s="61" t="s"/>
      <c r="J18" s="84" t="s">
        <v>82</v>
      </c>
      <c r="K18" s="61" t="s"/>
      <c r="L18" s="61" t="s"/>
      <c r="M18" s="61" t="s"/>
      <c r="N18" s="61" t="s"/>
      <c r="O18" s="61" t="s"/>
      <c r="P18" s="61" t="s"/>
      <c r="Q18" s="61" t="s"/>
      <c r="R18" s="61" t="s"/>
      <c r="S18" s="61" t="s"/>
      <c r="T18" s="61" t="s"/>
    </row>
    <row r="19" spans="1:20" ht="36.75" customHeight="1">
      <c r="A19" s="61" t="s"/>
      <c r="B19" s="61" t="s"/>
      <c r="C19" s="61" t="s"/>
      <c r="D19" s="87" t="s">
        <v>83</v>
      </c>
      <c r="E19" s="88" t="s">
        <v>84</v>
      </c>
      <c r="F19" s="61" t="s"/>
      <c r="G19" s="88" t="s">
        <v>85</v>
      </c>
      <c r="H19" s="61" t="s"/>
      <c r="I19" s="89" t="s">
        <v>86</v>
      </c>
      <c r="J19" s="90" t="s">
        <v>87</v>
      </c>
      <c r="K19" s="88" t="s">
        <v>88</v>
      </c>
      <c r="L19" s="89" t="s">
        <v>89</v>
      </c>
      <c r="M19" s="89" t="s">
        <v>90</v>
      </c>
      <c r="N19" s="88" t="s">
        <v>91</v>
      </c>
      <c r="O19" s="88" t="s">
        <v>92</v>
      </c>
      <c r="P19" s="88" t="s">
        <v>93</v>
      </c>
      <c r="Q19" s="88" t="s">
        <v>94</v>
      </c>
      <c r="R19" s="88" t="s">
        <v>95</v>
      </c>
      <c r="S19" s="91">
        <v>245</v>
      </c>
      <c r="T19" s="61" t="s"/>
    </row>
    <row r="20" spans="1:20" ht="33" customHeight="1">
      <c r="A20" s="92">
        <v>6</v>
      </c>
      <c r="B20" s="81" t="s">
        <v>96</v>
      </c>
      <c r="C20" s="93" t="s"/>
      <c r="D20" s="81" t="s">
        <v>97</v>
      </c>
      <c r="E20" s="94">
        <v>17</v>
      </c>
      <c r="F20" s="81" t="s">
        <v>30</v>
      </c>
      <c r="G20" s="95">
        <v>14</v>
      </c>
      <c r="H20" s="81" t="s">
        <v>98</v>
      </c>
      <c r="I20" s="96">
        <v>21</v>
      </c>
      <c r="J20" s="81" t="s">
        <v>99</v>
      </c>
      <c r="K20" s="94">
        <v>9</v>
      </c>
      <c r="L20" s="81">
        <v>11</v>
      </c>
      <c r="M20" s="94">
        <v>12</v>
      </c>
      <c r="N20" s="94">
        <v>14</v>
      </c>
      <c r="O20" s="97" t="s">
        <v>100</v>
      </c>
      <c r="P20" s="98" t="s">
        <v>101</v>
      </c>
      <c r="Q20" s="70" t="s">
        <v>102</v>
      </c>
      <c r="R20" s="97" t="s">
        <v>35</v>
      </c>
      <c r="S20" s="65">
        <v>238</v>
      </c>
      <c r="T20" s="99" t="s"/>
    </row>
    <row r="21" spans="1:20" ht="35.25" customHeight="1">
      <c r="A21" s="100" t="s"/>
      <c r="B21" s="93" t="s"/>
      <c r="C21" s="93" t="s"/>
      <c r="D21" s="81" t="s">
        <v>103</v>
      </c>
      <c r="E21" s="81">
        <v>16</v>
      </c>
      <c r="F21" s="101" t="s"/>
      <c r="G21" s="95">
        <v>13</v>
      </c>
      <c r="H21" s="101" t="s"/>
      <c r="I21" s="94">
        <v>20</v>
      </c>
      <c r="J21" s="101" t="s"/>
      <c r="K21" s="81">
        <v>10</v>
      </c>
      <c r="L21" s="81">
        <v>11</v>
      </c>
      <c r="M21" s="81">
        <v>13</v>
      </c>
      <c r="N21" s="81">
        <v>15</v>
      </c>
      <c r="O21" s="96" t="s">
        <v>104</v>
      </c>
      <c r="P21" s="96" t="s">
        <v>105</v>
      </c>
      <c r="Q21" s="96" t="s">
        <v>106</v>
      </c>
      <c r="R21" s="96" t="s">
        <v>107</v>
      </c>
      <c r="S21" s="102">
        <v>238</v>
      </c>
      <c r="T21" s="103" t="s"/>
    </row>
    <row r="22" spans="1:20" ht="52.5" customHeight="1">
      <c r="A22" s="104">
        <v>7</v>
      </c>
      <c r="B22" s="51" t="s">
        <v>108</v>
      </c>
      <c r="C22" s="50" t="s"/>
      <c r="D22" s="50" t="s"/>
      <c r="E22" s="105">
        <v>20</v>
      </c>
      <c r="F22" s="44" t="s">
        <v>109</v>
      </c>
      <c r="G22" s="106">
        <v>15</v>
      </c>
      <c r="H22" s="40" t="s">
        <v>31</v>
      </c>
      <c r="I22" s="106">
        <v>25</v>
      </c>
      <c r="J22" s="105" t="s">
        <v>110</v>
      </c>
      <c r="K22" s="44">
        <v>8</v>
      </c>
      <c r="L22" s="105">
        <v>9</v>
      </c>
      <c r="M22" s="105">
        <v>10</v>
      </c>
      <c r="N22" s="105">
        <v>12</v>
      </c>
      <c r="O22" s="105" t="s">
        <v>111</v>
      </c>
      <c r="P22" s="105" t="s">
        <v>112</v>
      </c>
      <c r="Q22" s="105" t="s">
        <v>113</v>
      </c>
      <c r="R22" s="105" t="s">
        <v>114</v>
      </c>
      <c r="S22" s="65">
        <v>240</v>
      </c>
      <c r="T22" s="99" t="s"/>
    </row>
    <row r="23" spans="1:20" ht="79.5" customHeight="1">
      <c r="A23" s="107">
        <v>8</v>
      </c>
      <c r="B23" s="51" t="s">
        <v>115</v>
      </c>
      <c r="C23" s="64" t="s"/>
      <c r="D23" s="64" t="s"/>
      <c r="E23" s="105">
        <v>17</v>
      </c>
      <c r="F23" s="44" t="s">
        <v>48</v>
      </c>
      <c r="G23" s="106">
        <v>15</v>
      </c>
      <c r="H23" s="108" t="s">
        <v>31</v>
      </c>
      <c r="I23" s="106">
        <v>21</v>
      </c>
      <c r="J23" s="105" t="s">
        <v>116</v>
      </c>
      <c r="K23" s="106">
        <v>9</v>
      </c>
      <c r="L23" s="106">
        <v>11</v>
      </c>
      <c r="M23" s="106">
        <v>12</v>
      </c>
      <c r="N23" s="106">
        <v>14</v>
      </c>
      <c r="O23" s="105" t="s">
        <v>117</v>
      </c>
      <c r="P23" s="105" t="s">
        <v>118</v>
      </c>
      <c r="Q23" s="105" t="s">
        <v>119</v>
      </c>
      <c r="R23" s="105" t="s">
        <v>120</v>
      </c>
      <c r="S23" s="65" t="s">
        <v>121</v>
      </c>
      <c r="T23" s="109" t="s"/>
    </row>
    <row r="24" spans="1:20" s="619" customFormat="1" ht="39.75" customHeight="1">
      <c r="A24" s="110">
        <v>9</v>
      </c>
      <c r="B24" s="95" t="s">
        <v>122</v>
      </c>
      <c r="C24" s="61" t="s"/>
      <c r="D24" s="95" t="s">
        <v>64</v>
      </c>
      <c r="E24" s="90" t="s">
        <v>123</v>
      </c>
      <c r="F24" s="95" t="s">
        <v>22</v>
      </c>
      <c r="G24" s="90" t="s">
        <v>123</v>
      </c>
      <c r="H24" s="95" t="s">
        <v>22</v>
      </c>
      <c r="I24" s="90" t="s">
        <v>123</v>
      </c>
      <c r="J24" s="95">
        <v>8</v>
      </c>
      <c r="K24" s="90">
        <v>3</v>
      </c>
      <c r="L24" s="90">
        <v>4</v>
      </c>
      <c r="M24" s="90">
        <v>4</v>
      </c>
      <c r="N24" s="90">
        <v>5</v>
      </c>
      <c r="O24" s="95" t="s">
        <v>60</v>
      </c>
      <c r="P24" s="95" t="s">
        <v>124</v>
      </c>
      <c r="Q24" s="95" t="s">
        <v>124</v>
      </c>
      <c r="R24" s="111" t="s">
        <v>125</v>
      </c>
      <c r="S24" s="56">
        <v>224</v>
      </c>
      <c r="T24" s="112" t="s"/>
    </row>
    <row r="25" spans="1:20" s="619" customFormat="1" ht="39.75" customHeight="1">
      <c r="A25" s="61" t="s"/>
      <c r="B25" s="61" t="s"/>
      <c r="C25" s="61" t="s"/>
      <c r="D25" s="95" t="s">
        <v>126</v>
      </c>
      <c r="E25" s="61" t="s"/>
      <c r="F25" s="61" t="s"/>
      <c r="G25" s="61" t="s"/>
      <c r="H25" s="61" t="s"/>
      <c r="I25" s="61" t="s"/>
      <c r="J25" s="61" t="s"/>
      <c r="K25" s="61" t="s"/>
      <c r="L25" s="61" t="s"/>
      <c r="M25" s="61" t="s"/>
      <c r="N25" s="61" t="s"/>
      <c r="O25" s="95" t="s">
        <v>33</v>
      </c>
      <c r="P25" s="95" t="s">
        <v>105</v>
      </c>
      <c r="Q25" s="95" t="s">
        <v>105</v>
      </c>
      <c r="R25" s="111" t="s">
        <v>127</v>
      </c>
      <c r="S25" s="56">
        <v>224</v>
      </c>
      <c r="T25" s="61" t="s"/>
    </row>
    <row r="26" spans="1:20" ht="75" customHeight="1">
      <c r="A26" s="104">
        <v>10</v>
      </c>
      <c r="B26" s="108" t="s">
        <v>128</v>
      </c>
      <c r="C26" s="113" t="s"/>
      <c r="D26" s="113" t="s"/>
      <c r="E26" s="108">
        <v>13</v>
      </c>
      <c r="F26" s="108" t="s">
        <v>30</v>
      </c>
      <c r="G26" s="108">
        <v>10</v>
      </c>
      <c r="H26" s="108" t="s">
        <v>31</v>
      </c>
      <c r="I26" s="106">
        <v>16</v>
      </c>
      <c r="J26" s="114" t="s">
        <v>129</v>
      </c>
      <c r="K26" s="108">
        <v>12</v>
      </c>
      <c r="L26" s="108">
        <v>14</v>
      </c>
      <c r="M26" s="108">
        <v>16</v>
      </c>
      <c r="N26" s="108">
        <v>18</v>
      </c>
      <c r="O26" s="108" t="s">
        <v>100</v>
      </c>
      <c r="P26" s="108" t="s">
        <v>130</v>
      </c>
      <c r="Q26" s="108" t="s">
        <v>171</v>
      </c>
      <c r="R26" s="108" t="s">
        <v>132</v>
      </c>
      <c r="S26" s="74">
        <v>234</v>
      </c>
      <c r="T26" s="115" t="s"/>
    </row>
    <row r="27" spans="1:20" ht="50.25" customHeight="1">
      <c r="A27" s="116">
        <v>11</v>
      </c>
      <c r="B27" s="53" t="s">
        <v>133</v>
      </c>
      <c r="C27" s="64" t="s"/>
      <c r="D27" s="53" t="s">
        <v>134</v>
      </c>
      <c r="E27" s="53">
        <v>17</v>
      </c>
      <c r="F27" s="53" t="s">
        <v>109</v>
      </c>
      <c r="G27" s="53">
        <v>13</v>
      </c>
      <c r="H27" s="53" t="s">
        <v>135</v>
      </c>
      <c r="I27" s="53">
        <v>22</v>
      </c>
      <c r="J27" s="52" t="s">
        <v>136</v>
      </c>
      <c r="K27" s="52">
        <v>9</v>
      </c>
      <c r="L27" s="52">
        <v>11</v>
      </c>
      <c r="M27" s="52">
        <v>12</v>
      </c>
      <c r="N27" s="52">
        <v>14</v>
      </c>
      <c r="O27" s="59" t="s">
        <v>33</v>
      </c>
      <c r="P27" s="59" t="s">
        <v>137</v>
      </c>
      <c r="Q27" s="59" t="s">
        <v>138</v>
      </c>
      <c r="R27" s="60" t="s">
        <v>79</v>
      </c>
      <c r="S27" s="56">
        <v>204</v>
      </c>
      <c r="T27" s="117" t="s"/>
    </row>
    <row r="28" spans="1:20" ht="60.75" customHeight="1">
      <c r="A28" s="118" t="s"/>
      <c r="B28" s="64" t="s"/>
      <c r="C28" s="64" t="s"/>
      <c r="D28" s="53" t="s">
        <v>139</v>
      </c>
      <c r="E28" s="64" t="s"/>
      <c r="F28" s="72" t="s"/>
      <c r="G28" s="64" t="s"/>
      <c r="H28" s="72" t="s"/>
      <c r="I28" s="64" t="s"/>
      <c r="J28" s="73" t="s"/>
      <c r="K28" s="119" t="s"/>
      <c r="L28" s="73" t="s"/>
      <c r="M28" s="119" t="s"/>
      <c r="N28" s="119" t="s"/>
      <c r="O28" s="53" t="s">
        <v>140</v>
      </c>
      <c r="P28" s="53" t="s">
        <v>107</v>
      </c>
      <c r="Q28" s="52" t="s">
        <v>72</v>
      </c>
      <c r="R28" s="52" t="s">
        <v>141</v>
      </c>
      <c r="S28" s="56">
        <v>170</v>
      </c>
      <c r="T28" s="120" t="s"/>
    </row>
    <row r="29" spans="1:20" s="619" customFormat="1" ht="40.5" customHeight="1">
      <c r="A29" s="121" t="s">
        <v>142</v>
      </c>
      <c r="B29" s="122" t="s">
        <v>143</v>
      </c>
      <c r="C29" s="61" t="s"/>
      <c r="D29" s="123" t="s">
        <v>144</v>
      </c>
      <c r="E29" s="124" t="s">
        <v>145</v>
      </c>
      <c r="F29" s="95" t="s">
        <v>30</v>
      </c>
      <c r="G29" s="124" t="s">
        <v>146</v>
      </c>
      <c r="H29" s="95" t="s">
        <v>135</v>
      </c>
      <c r="I29" s="124" t="s">
        <v>147</v>
      </c>
      <c r="J29" s="125" t="s">
        <v>148</v>
      </c>
      <c r="K29" s="126">
        <v>11</v>
      </c>
      <c r="L29" s="126">
        <v>12</v>
      </c>
      <c r="M29" s="126">
        <v>14</v>
      </c>
      <c r="N29" s="126">
        <v>16</v>
      </c>
      <c r="O29" s="126" t="s">
        <v>149</v>
      </c>
      <c r="P29" s="126" t="s">
        <v>150</v>
      </c>
      <c r="Q29" s="126" t="s">
        <v>102</v>
      </c>
      <c r="R29" s="127" t="s">
        <v>151</v>
      </c>
      <c r="S29" s="128">
        <v>238</v>
      </c>
      <c r="T29" s="129" t="s">
        <v>152</v>
      </c>
    </row>
    <row r="30" spans="1:20" s="619" customFormat="1" ht="45" customHeight="1">
      <c r="A30" s="61" t="s"/>
      <c r="B30" s="61" t="s"/>
      <c r="C30" s="61" t="s"/>
      <c r="D30" s="123" t="s">
        <v>153</v>
      </c>
      <c r="E30" s="124" t="s">
        <v>154</v>
      </c>
      <c r="F30" s="61" t="s"/>
      <c r="G30" s="124" t="s">
        <v>155</v>
      </c>
      <c r="H30" s="61" t="s"/>
      <c r="I30" s="124" t="s">
        <v>156</v>
      </c>
      <c r="J30" s="101" t="s"/>
      <c r="K30" s="126">
        <v>10</v>
      </c>
      <c r="L30" s="126">
        <v>12</v>
      </c>
      <c r="M30" s="126">
        <v>14</v>
      </c>
      <c r="N30" s="126">
        <v>16</v>
      </c>
      <c r="O30" s="126" t="s">
        <v>157</v>
      </c>
      <c r="P30" s="126" t="s">
        <v>150</v>
      </c>
      <c r="Q30" s="126" t="s">
        <v>102</v>
      </c>
      <c r="R30" s="127" t="s">
        <v>151</v>
      </c>
      <c r="S30" s="128">
        <v>240</v>
      </c>
      <c r="T30" s="61" t="s"/>
    </row>
    <row r="31" spans="1:20" s="619" customFormat="1" ht="33" customHeight="1">
      <c r="A31" s="61" t="s"/>
      <c r="B31" s="61" t="s"/>
      <c r="C31" s="61" t="s"/>
      <c r="D31" s="130" t="s">
        <v>158</v>
      </c>
      <c r="E31" s="131">
        <v>14</v>
      </c>
      <c r="F31" s="61" t="s"/>
      <c r="G31" s="132">
        <v>11</v>
      </c>
      <c r="H31" s="61" t="s"/>
      <c r="I31" s="133">
        <v>18</v>
      </c>
      <c r="J31" s="549" t="s">
        <v>417</v>
      </c>
      <c r="K31" s="131">
        <v>11</v>
      </c>
      <c r="L31" s="134">
        <v>13</v>
      </c>
      <c r="M31" s="131">
        <v>15</v>
      </c>
      <c r="N31" s="131">
        <v>17</v>
      </c>
      <c r="O31" s="135" t="s">
        <v>149</v>
      </c>
      <c r="P31" s="135" t="s">
        <v>160</v>
      </c>
      <c r="Q31" s="136" t="s">
        <v>45</v>
      </c>
      <c r="R31" s="135" t="s">
        <v>78</v>
      </c>
      <c r="S31" s="137">
        <v>224</v>
      </c>
      <c r="T31" s="61" t="s"/>
    </row>
    <row r="32" spans="1:20" s="619" customFormat="1" ht="42.75" customHeight="1">
      <c r="A32" s="138">
        <v>13</v>
      </c>
      <c r="B32" s="95" t="s">
        <v>161</v>
      </c>
      <c r="C32" s="61" t="s"/>
      <c r="D32" s="96" t="s">
        <v>75</v>
      </c>
      <c r="E32" s="139">
        <v>24</v>
      </c>
      <c r="F32" s="140" t="s">
        <v>48</v>
      </c>
      <c r="G32" s="141">
        <v>22</v>
      </c>
      <c r="H32" s="142" t="s">
        <v>31</v>
      </c>
      <c r="I32" s="143">
        <v>30</v>
      </c>
      <c r="J32" s="144" t="s">
        <v>162</v>
      </c>
      <c r="K32" s="139">
        <v>7</v>
      </c>
      <c r="L32" s="139">
        <v>8</v>
      </c>
      <c r="M32" s="139">
        <v>9</v>
      </c>
      <c r="N32" s="139">
        <v>10</v>
      </c>
      <c r="O32" s="145" t="s">
        <v>160</v>
      </c>
      <c r="P32" s="141" t="s">
        <v>45</v>
      </c>
      <c r="Q32" s="145" t="s">
        <v>78</v>
      </c>
      <c r="R32" s="146" t="s">
        <v>163</v>
      </c>
      <c r="S32" s="102">
        <v>184</v>
      </c>
      <c r="T32" s="147" t="s"/>
    </row>
    <row r="33" spans="1:20" s="619" customFormat="1" ht="42.75" customHeight="1">
      <c r="A33" s="148" t="s"/>
      <c r="B33" s="61" t="s"/>
      <c r="C33" s="61" t="s"/>
      <c r="D33" s="95" t="s">
        <v>153</v>
      </c>
      <c r="E33" s="139" t="s">
        <v>164</v>
      </c>
      <c r="F33" s="149" t="s"/>
      <c r="G33" s="150" t="s">
        <v>165</v>
      </c>
      <c r="H33" s="151" t="s"/>
      <c r="I33" s="139" t="s">
        <v>166</v>
      </c>
      <c r="J33" s="151" t="s"/>
      <c r="K33" s="139">
        <v>6</v>
      </c>
      <c r="L33" s="139">
        <v>7</v>
      </c>
      <c r="M33" s="139">
        <v>8</v>
      </c>
      <c r="N33" s="139">
        <v>10</v>
      </c>
      <c r="O33" s="145" t="s">
        <v>43</v>
      </c>
      <c r="P33" s="141" t="s">
        <v>160</v>
      </c>
      <c r="Q33" s="145" t="s">
        <v>45</v>
      </c>
      <c r="R33" s="146" t="s">
        <v>163</v>
      </c>
      <c r="S33" s="102">
        <v>191</v>
      </c>
      <c r="T33" s="152" t="s"/>
    </row>
    <row r="34" spans="1:20" ht="33.75" customHeight="1">
      <c r="A34" s="153">
        <v>14</v>
      </c>
      <c r="B34" s="154" t="s">
        <v>167</v>
      </c>
      <c r="C34" s="155" t="s"/>
      <c r="D34" s="155" t="s"/>
      <c r="E34" s="154">
        <v>20</v>
      </c>
      <c r="F34" s="154" t="s">
        <v>109</v>
      </c>
      <c r="G34" s="156">
        <v>15</v>
      </c>
      <c r="H34" s="157" t="s">
        <v>135</v>
      </c>
      <c r="I34" s="154">
        <v>26</v>
      </c>
      <c r="J34" s="158" t="s">
        <v>168</v>
      </c>
      <c r="K34" s="158">
        <v>8</v>
      </c>
      <c r="L34" s="159">
        <v>9</v>
      </c>
      <c r="M34" s="159">
        <v>10</v>
      </c>
      <c r="N34" s="158">
        <v>12</v>
      </c>
      <c r="O34" s="156" t="s">
        <v>33</v>
      </c>
      <c r="P34" s="156" t="s">
        <v>62</v>
      </c>
      <c r="Q34" s="156" t="s">
        <v>45</v>
      </c>
      <c r="R34" s="156" t="s">
        <v>169</v>
      </c>
      <c r="S34" s="102">
        <v>220</v>
      </c>
      <c r="T34" s="160" t="s"/>
    </row>
    <row r="35" spans="1:20" ht="25" customHeight="1">
      <c r="A35" s="161">
        <v>15</v>
      </c>
      <c r="B35" s="40" t="s">
        <v>170</v>
      </c>
      <c r="C35" s="162" t="s"/>
      <c r="D35" s="40" t="s">
        <v>171</v>
      </c>
      <c r="E35" s="53">
        <v>29</v>
      </c>
      <c r="F35" s="40" t="s">
        <v>172</v>
      </c>
      <c r="G35" s="54">
        <v>25</v>
      </c>
      <c r="H35" s="40" t="s">
        <v>31</v>
      </c>
      <c r="I35" s="54">
        <v>36</v>
      </c>
      <c r="J35" s="40" t="s">
        <v>173</v>
      </c>
      <c r="K35" s="163">
        <v>6</v>
      </c>
      <c r="L35" s="163">
        <v>7</v>
      </c>
      <c r="M35" s="44">
        <v>7</v>
      </c>
      <c r="N35" s="44">
        <v>8</v>
      </c>
      <c r="O35" s="163" t="s">
        <v>174</v>
      </c>
      <c r="P35" s="40" t="s">
        <v>34</v>
      </c>
      <c r="Q35" s="44" t="s">
        <v>34</v>
      </c>
      <c r="R35" s="44" t="s">
        <v>57</v>
      </c>
      <c r="S35" s="56">
        <v>203</v>
      </c>
      <c r="T35" s="109" t="s"/>
    </row>
    <row r="36" spans="1:20" ht="25" customHeight="1">
      <c r="A36" s="164" t="s"/>
      <c r="B36" s="162" t="s"/>
      <c r="C36" s="162" t="s"/>
      <c r="D36" s="40" t="s">
        <v>75</v>
      </c>
      <c r="E36" s="165" t="s"/>
      <c r="F36" s="41" t="s"/>
      <c r="G36" s="165" t="s"/>
      <c r="H36" s="41" t="s"/>
      <c r="I36" s="165" t="s"/>
      <c r="J36" s="41" t="s"/>
      <c r="K36" s="166" t="s"/>
      <c r="L36" s="166" t="s"/>
      <c r="M36" s="166" t="s"/>
      <c r="N36" s="166" t="s"/>
      <c r="O36" s="167" t="s">
        <v>175</v>
      </c>
      <c r="P36" s="40" t="s">
        <v>125</v>
      </c>
      <c r="Q36" s="44" t="s">
        <v>125</v>
      </c>
      <c r="R36" s="44" t="s">
        <v>176</v>
      </c>
      <c r="S36" s="56">
        <v>174</v>
      </c>
      <c r="T36" s="168" t="s"/>
    </row>
    <row r="37" spans="1:20" ht="38.25" customHeight="1">
      <c r="A37" s="110">
        <v>16</v>
      </c>
      <c r="B37" s="95" t="s">
        <v>177</v>
      </c>
      <c r="C37" s="169" t="s"/>
      <c r="D37" s="169" t="s"/>
      <c r="E37" s="95">
        <v>15</v>
      </c>
      <c r="F37" s="167" t="s">
        <v>109</v>
      </c>
      <c r="G37" s="95">
        <v>11</v>
      </c>
      <c r="H37" s="95" t="s">
        <v>135</v>
      </c>
      <c r="I37" s="95">
        <v>20</v>
      </c>
      <c r="J37" s="95" t="s">
        <v>178</v>
      </c>
      <c r="K37" s="95">
        <v>10</v>
      </c>
      <c r="L37" s="95">
        <v>12</v>
      </c>
      <c r="M37" s="95">
        <v>14</v>
      </c>
      <c r="N37" s="95">
        <v>15</v>
      </c>
      <c r="O37" s="95" t="s">
        <v>61</v>
      </c>
      <c r="P37" s="95" t="s">
        <v>137</v>
      </c>
      <c r="Q37" s="95" t="s">
        <v>132</v>
      </c>
      <c r="R37" s="95" t="s">
        <v>179</v>
      </c>
      <c r="S37" s="74">
        <v>210</v>
      </c>
      <c r="T37" s="76" t="s"/>
    </row>
    <row r="38" spans="1:20" s="619" customFormat="1" ht="38.5" customHeight="1">
      <c r="A38" s="170">
        <v>17</v>
      </c>
      <c r="B38" s="95" t="s">
        <v>180</v>
      </c>
      <c r="C38" s="61" t="s"/>
      <c r="D38" s="94" t="s">
        <v>181</v>
      </c>
      <c r="E38" s="95">
        <v>37</v>
      </c>
      <c r="F38" s="95" t="s">
        <v>109</v>
      </c>
      <c r="G38" s="95">
        <v>27</v>
      </c>
      <c r="H38" s="95" t="s">
        <v>182</v>
      </c>
      <c r="I38" s="95">
        <v>54</v>
      </c>
      <c r="J38" s="90" t="s">
        <v>183</v>
      </c>
      <c r="K38" s="95">
        <v>5</v>
      </c>
      <c r="L38" s="95">
        <v>5</v>
      </c>
      <c r="M38" s="95">
        <v>6</v>
      </c>
      <c r="N38" s="95">
        <v>7</v>
      </c>
      <c r="O38" s="95" t="s">
        <v>140</v>
      </c>
      <c r="P38" s="95" t="s">
        <v>140</v>
      </c>
      <c r="Q38" s="96" t="s">
        <v>184</v>
      </c>
      <c r="R38" s="95" t="s">
        <v>185</v>
      </c>
      <c r="S38" s="74">
        <v>185</v>
      </c>
      <c r="T38" s="76" t="s"/>
    </row>
    <row r="39" spans="1:20" s="619" customFormat="1" ht="38.5" customHeight="1">
      <c r="A39" s="61" t="s"/>
      <c r="B39" s="61" t="s"/>
      <c r="C39" s="61" t="s"/>
      <c r="D39" s="95" t="s">
        <v>38</v>
      </c>
      <c r="E39" s="61" t="s"/>
      <c r="F39" s="61" t="s"/>
      <c r="G39" s="61" t="s"/>
      <c r="H39" s="61" t="s"/>
      <c r="I39" s="61" t="s"/>
      <c r="J39" s="61" t="s"/>
      <c r="K39" s="61" t="s"/>
      <c r="L39" s="61" t="s"/>
      <c r="M39" s="61" t="s"/>
      <c r="N39" s="61" t="s"/>
      <c r="O39" s="95" t="s">
        <v>45</v>
      </c>
      <c r="P39" s="95" t="s">
        <v>45</v>
      </c>
      <c r="Q39" s="96" t="s">
        <v>186</v>
      </c>
      <c r="R39" s="95" t="s">
        <v>185</v>
      </c>
      <c r="S39" s="74">
        <v>222</v>
      </c>
      <c r="T39" s="61" t="s"/>
    </row>
    <row r="40" spans="1:20" ht="39.75" customHeight="1">
      <c r="A40" s="170">
        <v>18</v>
      </c>
      <c r="B40" s="81" t="s">
        <v>187</v>
      </c>
      <c r="C40" s="61" t="s"/>
      <c r="D40" s="94" t="s">
        <v>29</v>
      </c>
      <c r="E40" s="81">
        <v>21</v>
      </c>
      <c r="F40" s="81" t="s">
        <v>30</v>
      </c>
      <c r="G40" s="81">
        <v>18</v>
      </c>
      <c r="H40" s="81" t="s">
        <v>31</v>
      </c>
      <c r="I40" s="81">
        <v>26</v>
      </c>
      <c r="J40" s="98" t="s">
        <v>188</v>
      </c>
      <c r="K40" s="98">
        <v>8</v>
      </c>
      <c r="L40" s="98">
        <v>9</v>
      </c>
      <c r="M40" s="98">
        <v>10</v>
      </c>
      <c r="N40" s="98">
        <v>11</v>
      </c>
      <c r="O40" s="95" t="s">
        <v>160</v>
      </c>
      <c r="P40" s="95" t="s">
        <v>189</v>
      </c>
      <c r="Q40" s="95" t="s">
        <v>35</v>
      </c>
      <c r="R40" s="95" t="s">
        <v>169</v>
      </c>
      <c r="S40" s="74">
        <v>210</v>
      </c>
      <c r="T40" s="171" t="s"/>
    </row>
    <row r="41" spans="1:20" ht="39.75" customHeight="1">
      <c r="A41" s="48">
        <v>19</v>
      </c>
      <c r="B41" s="53" t="s">
        <v>190</v>
      </c>
      <c r="C41" s="50" t="s"/>
      <c r="D41" s="59" t="s">
        <v>29</v>
      </c>
      <c r="E41" s="53">
        <v>16</v>
      </c>
      <c r="F41" s="53" t="s">
        <v>30</v>
      </c>
      <c r="G41" s="53">
        <v>13</v>
      </c>
      <c r="H41" s="53" t="s">
        <v>98</v>
      </c>
      <c r="I41" s="54">
        <v>20</v>
      </c>
      <c r="J41" s="52" t="s">
        <v>191</v>
      </c>
      <c r="K41" s="52">
        <v>10</v>
      </c>
      <c r="L41" s="52">
        <v>11</v>
      </c>
      <c r="M41" s="52">
        <v>13</v>
      </c>
      <c r="N41" s="52">
        <v>15</v>
      </c>
      <c r="O41" s="59" t="s">
        <v>101</v>
      </c>
      <c r="P41" s="59" t="s">
        <v>131</v>
      </c>
      <c r="Q41" s="59" t="s">
        <v>192</v>
      </c>
      <c r="R41" s="51" t="s">
        <v>50</v>
      </c>
      <c r="S41" s="74">
        <v>208</v>
      </c>
      <c r="T41" s="172" t="s"/>
    </row>
    <row r="42" spans="1:20" ht="39.75" customHeight="1">
      <c r="A42" s="50" t="s"/>
      <c r="B42" s="50" t="s"/>
      <c r="C42" s="50" t="s"/>
      <c r="D42" s="54" t="s">
        <v>81</v>
      </c>
      <c r="E42" s="50" t="s"/>
      <c r="F42" s="50" t="s"/>
      <c r="G42" s="50" t="s"/>
      <c r="H42" s="50" t="s"/>
      <c r="I42" s="50" t="s"/>
      <c r="J42" s="52" t="s">
        <v>193</v>
      </c>
      <c r="K42" s="50" t="s"/>
      <c r="L42" s="50" t="s"/>
      <c r="M42" s="50" t="s"/>
      <c r="N42" s="50" t="s"/>
      <c r="O42" s="50" t="s"/>
      <c r="P42" s="50" t="s"/>
      <c r="Q42" s="50" t="s"/>
      <c r="R42" s="50" t="s"/>
      <c r="S42" s="37" t="s"/>
      <c r="T42" s="50" t="s"/>
    </row>
    <row r="43" spans="1:20" s="618" customFormat="1" ht="36" customHeight="1">
      <c r="A43" s="107">
        <v>20</v>
      </c>
      <c r="B43" s="51" t="s">
        <v>194</v>
      </c>
      <c r="C43" s="37" t="s"/>
      <c r="D43" s="54" t="s">
        <v>29</v>
      </c>
      <c r="E43" s="106">
        <v>50</v>
      </c>
      <c r="F43" s="40" t="s">
        <v>48</v>
      </c>
      <c r="G43" s="106">
        <v>45</v>
      </c>
      <c r="H43" s="40" t="s">
        <v>195</v>
      </c>
      <c r="I43" s="105" t="s">
        <v>196</v>
      </c>
      <c r="J43" s="44" t="s">
        <v>197</v>
      </c>
      <c r="K43" s="106">
        <v>3</v>
      </c>
      <c r="L43" s="40">
        <v>4</v>
      </c>
      <c r="M43" s="106">
        <v>4</v>
      </c>
      <c r="N43" s="40">
        <v>5</v>
      </c>
      <c r="O43" s="106" t="s">
        <v>77</v>
      </c>
      <c r="P43" s="108" t="s">
        <v>72</v>
      </c>
      <c r="Q43" s="108" t="s">
        <v>72</v>
      </c>
      <c r="R43" s="108" t="s">
        <v>198</v>
      </c>
      <c r="S43" s="74">
        <v>150</v>
      </c>
      <c r="T43" s="173" t="s"/>
    </row>
    <row r="44" spans="1:20" s="618" customFormat="1" ht="36" customHeight="1">
      <c r="A44" s="37" t="s"/>
      <c r="B44" s="37" t="s"/>
      <c r="C44" s="37" t="s"/>
      <c r="D44" s="51" t="s">
        <v>81</v>
      </c>
      <c r="E44" s="37" t="s"/>
      <c r="F44" s="37" t="s"/>
      <c r="G44" s="37" t="s"/>
      <c r="H44" s="37" t="s"/>
      <c r="I44" s="37" t="s"/>
      <c r="J44" s="114" t="s">
        <v>199</v>
      </c>
      <c r="K44" s="37" t="s"/>
      <c r="L44" s="37" t="s"/>
      <c r="M44" s="37" t="s"/>
      <c r="N44" s="37" t="s"/>
      <c r="O44" s="106" t="s">
        <v>77</v>
      </c>
      <c r="P44" s="108" t="s">
        <v>72</v>
      </c>
      <c r="Q44" s="108" t="s">
        <v>72</v>
      </c>
      <c r="R44" s="108" t="s">
        <v>198</v>
      </c>
      <c r="S44" s="37" t="s"/>
      <c r="T44" s="37" t="s"/>
    </row>
    <row r="45" spans="1:20" s="619" customFormat="1" ht="47.25" customHeight="1">
      <c r="A45" s="110">
        <v>21</v>
      </c>
      <c r="B45" s="122" t="s">
        <v>200</v>
      </c>
      <c r="C45" s="93" t="s"/>
      <c r="D45" s="174" t="s">
        <v>201</v>
      </c>
      <c r="E45" s="175">
        <v>22</v>
      </c>
      <c r="F45" s="174" t="s">
        <v>109</v>
      </c>
      <c r="G45" s="96">
        <v>17</v>
      </c>
      <c r="H45" s="174" t="s">
        <v>202</v>
      </c>
      <c r="I45" s="96">
        <v>31</v>
      </c>
      <c r="J45" s="70" t="s">
        <v>129</v>
      </c>
      <c r="K45" s="96">
        <v>7</v>
      </c>
      <c r="L45" s="96">
        <v>8</v>
      </c>
      <c r="M45" s="96">
        <v>10</v>
      </c>
      <c r="N45" s="96">
        <v>11</v>
      </c>
      <c r="O45" s="96" t="s">
        <v>44</v>
      </c>
      <c r="P45" s="96" t="s">
        <v>140</v>
      </c>
      <c r="Q45" s="96" t="s">
        <v>50</v>
      </c>
      <c r="R45" s="96" t="s">
        <v>203</v>
      </c>
      <c r="S45" s="102">
        <v>184</v>
      </c>
      <c r="T45" s="176" t="s">
        <v>204</v>
      </c>
    </row>
    <row r="46" spans="1:20" s="619" customFormat="1" ht="45.75" customHeight="1">
      <c r="A46" s="177" t="s"/>
      <c r="B46" s="93" t="s"/>
      <c r="C46" s="93" t="s"/>
      <c r="D46" s="96" t="s">
        <v>205</v>
      </c>
      <c r="E46" s="178" t="s">
        <v>206</v>
      </c>
      <c r="F46" s="61" t="s"/>
      <c r="G46" s="61" t="s"/>
      <c r="H46" s="61" t="s"/>
      <c r="I46" s="61" t="s"/>
      <c r="J46" s="179" t="s">
        <v>207</v>
      </c>
      <c r="K46" s="174" t="s">
        <v>208</v>
      </c>
      <c r="L46" s="174" t="s">
        <v>208</v>
      </c>
      <c r="M46" s="174" t="s">
        <v>208</v>
      </c>
      <c r="N46" s="174" t="s">
        <v>208</v>
      </c>
      <c r="O46" s="96" t="s">
        <v>208</v>
      </c>
      <c r="P46" s="174" t="s">
        <v>208</v>
      </c>
      <c r="Q46" s="95" t="s">
        <v>208</v>
      </c>
      <c r="R46" s="95" t="s">
        <v>208</v>
      </c>
      <c r="S46" s="102" t="s">
        <v>208</v>
      </c>
      <c r="T46" s="103" t="s"/>
    </row>
    <row r="47" spans="1:20" s="620" ht="50" customHeight="1">
      <c r="A47" s="180">
        <v>22</v>
      </c>
      <c r="B47" s="154" t="s">
        <v>209</v>
      </c>
      <c r="C47" s="181" t="s"/>
      <c r="D47" s="157" t="s">
        <v>64</v>
      </c>
      <c r="E47" s="159" t="s">
        <v>210</v>
      </c>
      <c r="F47" s="157" t="s">
        <v>22</v>
      </c>
      <c r="G47" s="159" t="s">
        <v>210</v>
      </c>
      <c r="H47" s="157" t="s">
        <v>22</v>
      </c>
      <c r="I47" s="159" t="s">
        <v>210</v>
      </c>
      <c r="J47" s="158">
        <v>5</v>
      </c>
      <c r="K47" s="158">
        <v>2</v>
      </c>
      <c r="L47" s="158">
        <v>2</v>
      </c>
      <c r="M47" s="158">
        <v>3</v>
      </c>
      <c r="N47" s="158">
        <v>3</v>
      </c>
      <c r="O47" s="157" t="s">
        <v>160</v>
      </c>
      <c r="P47" s="157" t="s">
        <v>160</v>
      </c>
      <c r="Q47" s="182" t="s">
        <v>211</v>
      </c>
      <c r="R47" s="182" t="s">
        <v>211</v>
      </c>
      <c r="S47" s="183">
        <v>190</v>
      </c>
      <c r="T47" s="160" t="s"/>
    </row>
    <row r="48" spans="1:20" ht="50.25" customHeight="1">
      <c r="A48" s="48">
        <v>23</v>
      </c>
      <c r="B48" s="54" t="s">
        <v>212</v>
      </c>
      <c r="C48" s="50" t="s"/>
      <c r="D48" s="167" t="s">
        <v>213</v>
      </c>
      <c r="E48" s="55">
        <v>60</v>
      </c>
      <c r="F48" s="53" t="s">
        <v>30</v>
      </c>
      <c r="G48" s="53">
        <v>48</v>
      </c>
      <c r="H48" s="143" t="s">
        <v>182</v>
      </c>
      <c r="I48" s="54">
        <v>90</v>
      </c>
      <c r="J48" s="167">
        <v>40</v>
      </c>
      <c r="K48" s="54">
        <v>3</v>
      </c>
      <c r="L48" s="54">
        <v>3</v>
      </c>
      <c r="M48" s="54">
        <v>4</v>
      </c>
      <c r="N48" s="54">
        <v>4</v>
      </c>
      <c r="O48" s="163" t="s">
        <v>211</v>
      </c>
      <c r="P48" s="163" t="s">
        <v>211</v>
      </c>
      <c r="Q48" s="105" t="s">
        <v>214</v>
      </c>
      <c r="R48" s="105" t="s">
        <v>214</v>
      </c>
      <c r="S48" s="74">
        <v>120</v>
      </c>
      <c r="T48" s="172" t="s"/>
    </row>
    <row r="49" spans="1:20" ht="54.75" customHeight="1">
      <c r="A49" s="50" t="s"/>
      <c r="B49" s="50" t="s"/>
      <c r="C49" s="50" t="s"/>
      <c r="D49" s="163" t="s">
        <v>215</v>
      </c>
      <c r="E49" s="55" t="s">
        <v>216</v>
      </c>
      <c r="F49" s="50" t="s"/>
      <c r="G49" s="55" t="s">
        <v>217</v>
      </c>
      <c r="H49" s="50" t="s"/>
      <c r="I49" s="55" t="s">
        <v>218</v>
      </c>
      <c r="J49" s="184" t="s"/>
      <c r="K49" s="54">
        <v>2</v>
      </c>
      <c r="L49" s="54">
        <v>3</v>
      </c>
      <c r="M49" s="54">
        <v>3</v>
      </c>
      <c r="N49" s="54">
        <v>3</v>
      </c>
      <c r="O49" s="167" t="s">
        <v>101</v>
      </c>
      <c r="P49" s="167" t="s">
        <v>211</v>
      </c>
      <c r="Q49" s="167" t="s">
        <v>211</v>
      </c>
      <c r="R49" s="163" t="s">
        <v>211</v>
      </c>
      <c r="S49" s="74">
        <v>150</v>
      </c>
      <c r="T49" s="37" t="s"/>
    </row>
    <row r="50" spans="1:20" s="618" customFormat="1" ht="42" customHeight="1">
      <c r="A50" s="48">
        <v>24</v>
      </c>
      <c r="B50" s="54" t="s">
        <v>219</v>
      </c>
      <c r="C50" s="50" t="s"/>
      <c r="D50" s="106" t="s">
        <v>220</v>
      </c>
      <c r="E50" s="55" t="s">
        <v>221</v>
      </c>
      <c r="F50" s="52" t="s">
        <v>48</v>
      </c>
      <c r="G50" s="55" t="s">
        <v>221</v>
      </c>
      <c r="H50" s="143" t="s">
        <v>182</v>
      </c>
      <c r="I50" s="55" t="s">
        <v>222</v>
      </c>
      <c r="J50" s="55" t="s">
        <v>223</v>
      </c>
      <c r="K50" s="44">
        <v>3</v>
      </c>
      <c r="L50" s="44">
        <v>3</v>
      </c>
      <c r="M50" s="163">
        <v>4</v>
      </c>
      <c r="N50" s="44">
        <v>4</v>
      </c>
      <c r="O50" s="106" t="s">
        <v>224</v>
      </c>
      <c r="P50" s="106" t="s">
        <v>224</v>
      </c>
      <c r="Q50" s="106" t="s">
        <v>225</v>
      </c>
      <c r="R50" s="106" t="s">
        <v>225</v>
      </c>
      <c r="S50" s="102">
        <v>132</v>
      </c>
      <c r="T50" s="185" t="s"/>
    </row>
    <row r="51" spans="1:20" s="618" customFormat="1" ht="45" customHeight="1">
      <c r="A51" s="50" t="s"/>
      <c r="B51" s="50" t="s"/>
      <c r="C51" s="50" t="s"/>
      <c r="D51" s="106" t="s">
        <v>226</v>
      </c>
      <c r="E51" s="50" t="s"/>
      <c r="F51" s="50" t="s"/>
      <c r="G51" s="50" t="s"/>
      <c r="H51" s="50" t="s"/>
      <c r="I51" s="50" t="s"/>
      <c r="J51" s="50" t="s"/>
      <c r="K51" s="184" t="s"/>
      <c r="L51" s="184" t="s"/>
      <c r="M51" s="184" t="s"/>
      <c r="N51" s="184" t="s"/>
      <c r="O51" s="106" t="s">
        <v>79</v>
      </c>
      <c r="P51" s="106" t="s">
        <v>79</v>
      </c>
      <c r="Q51" s="106" t="s">
        <v>227</v>
      </c>
      <c r="R51" s="106" t="s">
        <v>227</v>
      </c>
      <c r="S51" s="102">
        <v>132</v>
      </c>
      <c r="T51" s="50" t="s"/>
    </row>
    <row r="52" spans="1:20" ht="44.25" customHeight="1">
      <c r="A52" s="107">
        <v>25</v>
      </c>
      <c r="B52" s="40" t="s">
        <v>228</v>
      </c>
      <c r="C52" s="162" t="s"/>
      <c r="D52" s="40" t="s">
        <v>229</v>
      </c>
      <c r="E52" s="55" t="s">
        <v>230</v>
      </c>
      <c r="F52" s="44" t="s">
        <v>172</v>
      </c>
      <c r="G52" s="55" t="s">
        <v>231</v>
      </c>
      <c r="H52" s="143" t="s">
        <v>202</v>
      </c>
      <c r="I52" s="55" t="s">
        <v>232</v>
      </c>
      <c r="J52" s="44" t="s">
        <v>223</v>
      </c>
      <c r="K52" s="163">
        <v>4</v>
      </c>
      <c r="L52" s="44">
        <v>4</v>
      </c>
      <c r="M52" s="44">
        <v>5</v>
      </c>
      <c r="N52" s="163">
        <v>5</v>
      </c>
      <c r="O52" s="163" t="s">
        <v>185</v>
      </c>
      <c r="P52" s="40" t="s">
        <v>185</v>
      </c>
      <c r="Q52" s="40" t="s">
        <v>233</v>
      </c>
      <c r="R52" s="163" t="s">
        <v>233</v>
      </c>
      <c r="S52" s="186">
        <v>143</v>
      </c>
      <c r="T52" s="173" t="s"/>
    </row>
    <row r="53" spans="1:20" ht="42" customHeight="1">
      <c r="A53" s="187" t="s"/>
      <c r="B53" s="162" t="s"/>
      <c r="C53" s="162" t="s"/>
      <c r="D53" s="40" t="s">
        <v>75</v>
      </c>
      <c r="E53" s="188" t="s"/>
      <c r="F53" s="189" t="s"/>
      <c r="G53" s="188" t="s"/>
      <c r="H53" s="41" t="s"/>
      <c r="I53" s="188" t="s"/>
      <c r="J53" s="189" t="s"/>
      <c r="K53" s="44">
        <v>4</v>
      </c>
      <c r="L53" s="44">
        <v>5</v>
      </c>
      <c r="M53" s="44">
        <v>5</v>
      </c>
      <c r="N53" s="44">
        <v>6</v>
      </c>
      <c r="O53" s="44" t="s">
        <v>185</v>
      </c>
      <c r="P53" s="40" t="s">
        <v>233</v>
      </c>
      <c r="Q53" s="44" t="s">
        <v>233</v>
      </c>
      <c r="R53" s="44" t="s">
        <v>234</v>
      </c>
      <c r="S53" s="74">
        <v>123</v>
      </c>
      <c r="T53" s="37" t="s"/>
    </row>
    <row r="54" spans="1:20" ht="50" customHeight="1">
      <c r="A54" s="48">
        <v>26</v>
      </c>
      <c r="B54" s="54" t="s">
        <v>235</v>
      </c>
      <c r="C54" s="50" t="s"/>
      <c r="D54" s="51" t="s">
        <v>64</v>
      </c>
      <c r="E54" s="55" t="s">
        <v>236</v>
      </c>
      <c r="F54" s="53" t="s">
        <v>22</v>
      </c>
      <c r="G54" s="55" t="s">
        <v>236</v>
      </c>
      <c r="H54" s="54" t="s">
        <v>22</v>
      </c>
      <c r="I54" s="55" t="s">
        <v>236</v>
      </c>
      <c r="J54" s="55">
        <v>5</v>
      </c>
      <c r="K54" s="52">
        <v>2</v>
      </c>
      <c r="L54" s="52">
        <v>2</v>
      </c>
      <c r="M54" s="60">
        <v>3</v>
      </c>
      <c r="N54" s="52">
        <v>3</v>
      </c>
      <c r="O54" s="53" t="s">
        <v>237</v>
      </c>
      <c r="P54" s="53" t="s">
        <v>237</v>
      </c>
      <c r="Q54" s="190" t="s">
        <v>238</v>
      </c>
      <c r="R54" s="191" t="s">
        <v>238</v>
      </c>
      <c r="S54" s="192">
        <v>99</v>
      </c>
      <c r="T54" s="172" t="s"/>
    </row>
    <row r="55" spans="1:20" ht="50" customHeight="1">
      <c r="A55" s="184" t="s"/>
      <c r="B55" s="50" t="s"/>
      <c r="C55" s="50" t="s"/>
      <c r="D55" s="51" t="s">
        <v>239</v>
      </c>
      <c r="E55" s="55" t="s">
        <v>240</v>
      </c>
      <c r="F55" s="184" t="s"/>
      <c r="G55" s="55" t="s">
        <v>240</v>
      </c>
      <c r="H55" s="184" t="s"/>
      <c r="I55" s="55" t="s">
        <v>240</v>
      </c>
      <c r="J55" s="184" t="s"/>
      <c r="K55" s="52">
        <v>2</v>
      </c>
      <c r="L55" s="52">
        <v>2</v>
      </c>
      <c r="M55" s="52">
        <v>2</v>
      </c>
      <c r="N55" s="52">
        <v>2</v>
      </c>
      <c r="O55" s="53" t="s">
        <v>237</v>
      </c>
      <c r="P55" s="53" t="s">
        <v>237</v>
      </c>
      <c r="Q55" s="53" t="s">
        <v>237</v>
      </c>
      <c r="R55" s="53" t="s">
        <v>237</v>
      </c>
      <c r="S55" s="74">
        <v>107</v>
      </c>
      <c r="T55" s="184" t="s"/>
    </row>
    <row r="56" spans="1:20" ht="50" customHeight="1">
      <c r="A56" s="107">
        <v>27</v>
      </c>
      <c r="B56" s="40" t="s">
        <v>241</v>
      </c>
      <c r="C56" s="162" t="s"/>
      <c r="D56" s="162" t="s"/>
      <c r="E56" s="40">
        <v>150</v>
      </c>
      <c r="F56" s="40" t="s">
        <v>30</v>
      </c>
      <c r="G56" s="40">
        <v>120</v>
      </c>
      <c r="H56" s="40" t="s">
        <v>202</v>
      </c>
      <c r="I56" s="44" t="s">
        <v>242</v>
      </c>
      <c r="J56" s="44">
        <v>4</v>
      </c>
      <c r="K56" s="167">
        <v>1</v>
      </c>
      <c r="L56" s="40">
        <v>2</v>
      </c>
      <c r="M56" s="40">
        <v>2</v>
      </c>
      <c r="N56" s="40">
        <v>2</v>
      </c>
      <c r="O56" s="167" t="s">
        <v>243</v>
      </c>
      <c r="P56" s="40" t="s">
        <v>244</v>
      </c>
      <c r="Q56" s="40" t="s">
        <v>244</v>
      </c>
      <c r="R56" s="40" t="s">
        <v>244</v>
      </c>
      <c r="S56" s="192">
        <v>150</v>
      </c>
      <c r="T56" s="173" t="s"/>
    </row>
    <row r="57" spans="1:20" s="618" customFormat="1" ht="49.5" customHeight="1">
      <c r="A57" s="48">
        <v>28</v>
      </c>
      <c r="B57" s="54" t="s">
        <v>245</v>
      </c>
      <c r="C57" s="37" t="s"/>
      <c r="D57" s="167" t="s">
        <v>75</v>
      </c>
      <c r="E57" s="40">
        <v>60</v>
      </c>
      <c r="F57" s="55" t="s">
        <v>30</v>
      </c>
      <c r="G57" s="167">
        <v>48</v>
      </c>
      <c r="H57" s="54" t="s">
        <v>246</v>
      </c>
      <c r="I57" s="163" t="s">
        <v>247</v>
      </c>
      <c r="J57" s="52" t="s">
        <v>248</v>
      </c>
      <c r="K57" s="44">
        <v>3</v>
      </c>
      <c r="L57" s="44">
        <v>3</v>
      </c>
      <c r="M57" s="44">
        <v>4</v>
      </c>
      <c r="N57" s="44">
        <v>4</v>
      </c>
      <c r="O57" s="40" t="s">
        <v>249</v>
      </c>
      <c r="P57" s="40" t="s">
        <v>249</v>
      </c>
      <c r="Q57" s="108" t="s">
        <v>250</v>
      </c>
      <c r="R57" s="108" t="s">
        <v>250</v>
      </c>
      <c r="S57" s="74">
        <v>120</v>
      </c>
      <c r="T57" s="172" t="s"/>
    </row>
    <row r="58" spans="1:20" s="619" customFormat="1" ht="49.5" customHeight="1">
      <c r="A58" s="37" t="s"/>
      <c r="B58" s="37" t="s"/>
      <c r="C58" s="37" t="s"/>
      <c r="D58" s="96" t="s">
        <v>81</v>
      </c>
      <c r="E58" s="37" t="s"/>
      <c r="F58" s="37" t="s"/>
      <c r="G58" s="37" t="s"/>
      <c r="H58" s="37" t="s"/>
      <c r="I58" s="37" t="s"/>
      <c r="J58" s="52" t="s">
        <v>251</v>
      </c>
      <c r="K58" s="37" t="s"/>
      <c r="L58" s="37" t="s"/>
      <c r="M58" s="37" t="s"/>
      <c r="N58" s="37" t="s"/>
      <c r="O58" s="37" t="s"/>
      <c r="P58" s="37" t="s"/>
      <c r="Q58" s="37" t="s"/>
      <c r="R58" s="37" t="s"/>
      <c r="S58" s="37" t="s"/>
      <c r="T58" s="37" t="s"/>
    </row>
    <row r="59" spans="1:20" ht="71.5" customHeight="1">
      <c r="A59" s="161">
        <v>29</v>
      </c>
      <c r="B59" s="163" t="s">
        <v>252</v>
      </c>
      <c r="C59" s="162" t="s"/>
      <c r="D59" s="163" t="s">
        <v>253</v>
      </c>
      <c r="E59" s="163" t="s">
        <v>254</v>
      </c>
      <c r="F59" s="163" t="s">
        <v>48</v>
      </c>
      <c r="G59" s="163" t="s">
        <v>255</v>
      </c>
      <c r="H59" s="40" t="s">
        <v>256</v>
      </c>
      <c r="I59" s="163" t="s">
        <v>257</v>
      </c>
      <c r="J59" s="40" t="s">
        <v>258</v>
      </c>
      <c r="K59" s="163" t="s">
        <v>259</v>
      </c>
      <c r="L59" s="163" t="s">
        <v>259</v>
      </c>
      <c r="M59" s="163" t="s">
        <v>260</v>
      </c>
      <c r="N59" s="163" t="s">
        <v>260</v>
      </c>
      <c r="O59" s="163" t="s">
        <v>261</v>
      </c>
      <c r="P59" s="167" t="s">
        <v>261</v>
      </c>
      <c r="Q59" s="163" t="s">
        <v>262</v>
      </c>
      <c r="R59" s="163" t="s">
        <v>262</v>
      </c>
      <c r="S59" s="192" t="s">
        <v>263</v>
      </c>
      <c r="T59" s="109" t="s"/>
    </row>
    <row r="60" spans="1:20" ht="73" customHeight="1">
      <c r="A60" s="193" t="s"/>
      <c r="B60" s="162" t="s"/>
      <c r="C60" s="162" t="s"/>
      <c r="D60" s="167" t="s">
        <v>264</v>
      </c>
      <c r="E60" s="163" t="s">
        <v>265</v>
      </c>
      <c r="F60" s="194" t="s"/>
      <c r="G60" s="195" t="s">
        <v>266</v>
      </c>
      <c r="H60" s="40" t="s">
        <v>256</v>
      </c>
      <c r="I60" s="163" t="s">
        <v>267</v>
      </c>
      <c r="J60" s="41" t="s"/>
      <c r="K60" s="44">
        <v>2</v>
      </c>
      <c r="L60" s="44" t="s">
        <v>268</v>
      </c>
      <c r="M60" s="44" t="s">
        <v>268</v>
      </c>
      <c r="N60" s="44">
        <v>3</v>
      </c>
      <c r="O60" s="40" t="s">
        <v>269</v>
      </c>
      <c r="P60" s="40" t="s">
        <v>270</v>
      </c>
      <c r="Q60" s="40" t="s">
        <v>270</v>
      </c>
      <c r="R60" s="40" t="s">
        <v>271</v>
      </c>
      <c r="S60" s="196" t="s">
        <v>272</v>
      </c>
      <c r="T60" s="50" t="s"/>
    </row>
    <row r="61" spans="1:20" ht="40" customHeight="1">
      <c r="A61" s="107">
        <v>30</v>
      </c>
      <c r="B61" s="40" t="s">
        <v>273</v>
      </c>
      <c r="C61" s="41" t="s"/>
      <c r="D61" s="41" t="s"/>
      <c r="E61" s="44" t="s">
        <v>274</v>
      </c>
      <c r="F61" s="40" t="s">
        <v>22</v>
      </c>
      <c r="G61" s="44" t="s">
        <v>274</v>
      </c>
      <c r="H61" s="44" t="s">
        <v>182</v>
      </c>
      <c r="I61" s="44" t="s">
        <v>275</v>
      </c>
      <c r="J61" s="44">
        <v>6</v>
      </c>
      <c r="K61" s="44">
        <v>2</v>
      </c>
      <c r="L61" s="44">
        <v>2</v>
      </c>
      <c r="M61" s="44">
        <v>3</v>
      </c>
      <c r="N61" s="44">
        <v>3</v>
      </c>
      <c r="O61" s="40" t="s">
        <v>276</v>
      </c>
      <c r="P61" s="40" t="s">
        <v>276</v>
      </c>
      <c r="Q61" s="44" t="s">
        <v>277</v>
      </c>
      <c r="R61" s="44" t="s">
        <v>277</v>
      </c>
      <c r="S61" s="192">
        <v>50</v>
      </c>
      <c r="T61" s="109" t="s"/>
    </row>
    <row r="62" spans="1:20" ht="48.5" customHeight="1">
      <c r="A62" s="107">
        <v>31</v>
      </c>
      <c r="B62" s="197" t="s">
        <v>278</v>
      </c>
      <c r="C62" s="162" t="s"/>
      <c r="D62" s="40" t="s">
        <v>279</v>
      </c>
      <c r="E62" s="44">
        <v>88</v>
      </c>
      <c r="F62" s="163" t="s">
        <v>48</v>
      </c>
      <c r="G62" s="167">
        <v>79</v>
      </c>
      <c r="H62" s="40" t="s">
        <v>256</v>
      </c>
      <c r="I62" s="163">
        <v>158</v>
      </c>
      <c r="J62" s="44" t="s">
        <v>280</v>
      </c>
      <c r="K62" s="44">
        <v>2</v>
      </c>
      <c r="L62" s="44">
        <v>2</v>
      </c>
      <c r="M62" s="44">
        <v>3</v>
      </c>
      <c r="N62" s="44">
        <v>3</v>
      </c>
      <c r="O62" s="163" t="s">
        <v>281</v>
      </c>
      <c r="P62" s="163" t="s">
        <v>281</v>
      </c>
      <c r="Q62" s="167" t="s">
        <v>282</v>
      </c>
      <c r="R62" s="167" t="s">
        <v>282</v>
      </c>
      <c r="S62" s="192">
        <v>88</v>
      </c>
      <c r="T62" s="198" t="s"/>
    </row>
    <row r="63" spans="1:20" ht="46.5" customHeight="1">
      <c r="A63" s="193" t="s"/>
      <c r="B63" s="162" t="s"/>
      <c r="C63" s="162" t="s"/>
      <c r="D63" s="40" t="s">
        <v>75</v>
      </c>
      <c r="E63" s="40">
        <v>70</v>
      </c>
      <c r="F63" s="194" t="s"/>
      <c r="G63" s="167">
        <v>63</v>
      </c>
      <c r="H63" s="40" t="s">
        <v>256</v>
      </c>
      <c r="I63" s="163">
        <v>126</v>
      </c>
      <c r="J63" s="189" t="s"/>
      <c r="K63" s="44">
        <v>3</v>
      </c>
      <c r="L63" s="44">
        <v>3</v>
      </c>
      <c r="M63" s="44">
        <v>3</v>
      </c>
      <c r="N63" s="44">
        <v>4</v>
      </c>
      <c r="O63" s="167" t="s">
        <v>283</v>
      </c>
      <c r="P63" s="167" t="s">
        <v>283</v>
      </c>
      <c r="Q63" s="167" t="s">
        <v>283</v>
      </c>
      <c r="R63" s="163" t="s">
        <v>284</v>
      </c>
      <c r="S63" s="196">
        <v>70</v>
      </c>
      <c r="T63" s="173" t="s"/>
    </row>
  </sheetData>
  <mergeCells count="251">
    <mergeCell ref="O7:O8"/>
    <mergeCell ref="P7:P8"/>
    <mergeCell ref="Q7:Q8"/>
    <mergeCell ref="R7:R8"/>
    <mergeCell ref="F62:F63"/>
    <mergeCell ref="F59:F60"/>
    <mergeCell ref="K7:K8"/>
    <mergeCell ref="L7:L8"/>
    <mergeCell ref="M7:M8"/>
    <mergeCell ref="N7:N8"/>
    <mergeCell ref="F52:F53"/>
    <mergeCell ref="H52:H53"/>
    <mergeCell ref="K35:K36"/>
    <mergeCell ref="L35:L36"/>
    <mergeCell ref="M35:M36"/>
    <mergeCell ref="N35:N36"/>
    <mergeCell ref="J35:J36"/>
    <mergeCell ref="J52:J53"/>
    <mergeCell ref="J62:J63"/>
    <mergeCell ref="J59:J60"/>
    <mergeCell ref="H35:H36"/>
    <mergeCell ref="B35:C36"/>
    <mergeCell ref="B9:D9"/>
    <mergeCell ref="B61:D61"/>
    <mergeCell ref="B62:C63"/>
    <mergeCell ref="B52:C53"/>
    <mergeCell ref="B56:D56"/>
    <mergeCell ref="F35:F36"/>
    <mergeCell ref="B59:C60"/>
    <mergeCell ref="I52:I53"/>
    <mergeCell ref="H7:I7"/>
    <mergeCell ref="I35:I36"/>
    <mergeCell ref="G52:G53"/>
    <mergeCell ref="F7:G7"/>
    <mergeCell ref="G35:G36"/>
    <mergeCell ref="E52:E53"/>
    <mergeCell ref="E7:E8"/>
    <mergeCell ref="E35:E36"/>
    <mergeCell ref="B27:C28"/>
    <mergeCell ref="E27:E28"/>
    <mergeCell ref="F27:F28"/>
    <mergeCell ref="G27:G28"/>
    <mergeCell ref="H27:H28"/>
    <mergeCell ref="I27:I28"/>
    <mergeCell ref="J27:J28"/>
    <mergeCell ref="K27:K28"/>
    <mergeCell ref="L27:L28"/>
    <mergeCell ref="M27:M28"/>
    <mergeCell ref="N27:N28"/>
    <mergeCell ref="B22:D22"/>
    <mergeCell ref="T6:T8"/>
    <mergeCell ref="O6:R6"/>
    <mergeCell ref="K6:N6"/>
    <mergeCell ref="J6:J8"/>
    <mergeCell ref="E6:I6"/>
    <mergeCell ref="B6:D8"/>
    <mergeCell ref="A6:A8"/>
    <mergeCell ref="A5:H5"/>
    <mergeCell ref="I5:P5"/>
    <mergeCell ref="I4:P4"/>
    <mergeCell ref="A4:H4"/>
    <mergeCell ref="B23:D23"/>
    <mergeCell ref="B48:C49"/>
    <mergeCell ref="F48:F49"/>
    <mergeCell ref="H48:H49"/>
    <mergeCell ref="J48:J49"/>
    <mergeCell ref="B43:C44"/>
    <mergeCell ref="T43:T44"/>
    <mergeCell ref="E43:E44"/>
    <mergeCell ref="K43:K44"/>
    <mergeCell ref="L43:L44"/>
    <mergeCell ref="M43:M44"/>
    <mergeCell ref="N43:N44"/>
    <mergeCell ref="F43:F44"/>
    <mergeCell ref="G43:G44"/>
    <mergeCell ref="H43:H44"/>
    <mergeCell ref="I43:I44"/>
    <mergeCell ref="T35:T36"/>
    <mergeCell ref="T27:T28"/>
    <mergeCell ref="T52:T53"/>
    <mergeCell ref="A10:A11"/>
    <mergeCell ref="B10:C11"/>
    <mergeCell ref="F10:F11"/>
    <mergeCell ref="H10:H11"/>
    <mergeCell ref="J10:J11"/>
    <mergeCell ref="T10:T11"/>
    <mergeCell ref="A15:A16"/>
    <mergeCell ref="B15:C16"/>
    <mergeCell ref="E15:E16"/>
    <mergeCell ref="F15:F16"/>
    <mergeCell ref="G15:G16"/>
    <mergeCell ref="H15:H16"/>
    <mergeCell ref="I15:I16"/>
    <mergeCell ref="K15:K16"/>
    <mergeCell ref="L15:L16"/>
    <mergeCell ref="M15:M16"/>
    <mergeCell ref="N15:N16"/>
    <mergeCell ref="T15:T16"/>
    <mergeCell ref="A12:A14"/>
    <mergeCell ref="B12:C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T12:T14"/>
    <mergeCell ref="B50:C51"/>
    <mergeCell ref="E50:E51"/>
    <mergeCell ref="F50:F51"/>
    <mergeCell ref="G50:G51"/>
    <mergeCell ref="H50:H51"/>
    <mergeCell ref="I50:I51"/>
    <mergeCell ref="J50:J51"/>
    <mergeCell ref="K50:K51"/>
    <mergeCell ref="L50:L51"/>
    <mergeCell ref="M50:M51"/>
    <mergeCell ref="N50:N51"/>
    <mergeCell ref="T50:T51"/>
    <mergeCell ref="A62:A63"/>
    <mergeCell ref="A59:A60"/>
    <mergeCell ref="A52:A53"/>
    <mergeCell ref="A50:A51"/>
    <mergeCell ref="A48:A49"/>
    <mergeCell ref="A43:A44"/>
    <mergeCell ref="A35:A36"/>
    <mergeCell ref="A27:A28"/>
    <mergeCell ref="T48:T49"/>
    <mergeCell ref="T59:T60"/>
    <mergeCell ref="T61:T62"/>
    <mergeCell ref="A41:A42"/>
    <mergeCell ref="B41:C42"/>
    <mergeCell ref="E41:E42"/>
    <mergeCell ref="F41:F42"/>
    <mergeCell ref="G41:G42"/>
    <mergeCell ref="H41:H42"/>
    <mergeCell ref="I41:I42"/>
    <mergeCell ref="K41:K42"/>
    <mergeCell ref="L41:L42"/>
    <mergeCell ref="M41:M42"/>
    <mergeCell ref="N41:N42"/>
    <mergeCell ref="O41:O42"/>
    <mergeCell ref="P41:P42"/>
    <mergeCell ref="Q41:Q42"/>
    <mergeCell ref="R41:R42"/>
    <mergeCell ref="T41:T42"/>
    <mergeCell ref="A20:A21"/>
    <mergeCell ref="B20:C21"/>
    <mergeCell ref="F20:F21"/>
    <mergeCell ref="H20:H21"/>
    <mergeCell ref="J20:J21"/>
    <mergeCell ref="T20:T21"/>
    <mergeCell ref="B34:D34"/>
    <mergeCell ref="B37:D37"/>
    <mergeCell ref="A1:T1"/>
    <mergeCell ref="Q5:T5"/>
    <mergeCell ref="A2:T2"/>
    <mergeCell ref="A3:T3"/>
    <mergeCell ref="Q4:T4"/>
    <mergeCell ref="S6:S8"/>
    <mergeCell ref="B47:C47"/>
    <mergeCell ref="A57:A58"/>
    <mergeCell ref="B57:C58"/>
    <mergeCell ref="E57:E58"/>
    <mergeCell ref="F57:F58"/>
    <mergeCell ref="G57:G58"/>
    <mergeCell ref="H57:H58"/>
    <mergeCell ref="I57:I58"/>
    <mergeCell ref="K57:K58"/>
    <mergeCell ref="L57:L58"/>
    <mergeCell ref="M57:M58"/>
    <mergeCell ref="N57:N58"/>
    <mergeCell ref="O57:O58"/>
    <mergeCell ref="P57:P58"/>
    <mergeCell ref="Q57:Q58"/>
    <mergeCell ref="R57:R58"/>
    <mergeCell ref="T57:T58"/>
    <mergeCell ref="S41:S42"/>
    <mergeCell ref="S43:S44"/>
    <mergeCell ref="B54:C55"/>
    <mergeCell ref="F54:F55"/>
    <mergeCell ref="H54:H55"/>
    <mergeCell ref="J54:J55"/>
    <mergeCell ref="T54:T55"/>
    <mergeCell ref="A54:A55"/>
    <mergeCell ref="S57:S58"/>
    <mergeCell ref="A38:A39"/>
    <mergeCell ref="B38:C39"/>
    <mergeCell ref="E38:E39"/>
    <mergeCell ref="F38:F39"/>
    <mergeCell ref="G38:G39"/>
    <mergeCell ref="H38:H39"/>
    <mergeCell ref="I38:I39"/>
    <mergeCell ref="J38:J39"/>
    <mergeCell ref="K38:K39"/>
    <mergeCell ref="L38:L39"/>
    <mergeCell ref="M38:M39"/>
    <mergeCell ref="N38:N39"/>
    <mergeCell ref="T38:T39"/>
    <mergeCell ref="B40:C40"/>
    <mergeCell ref="B26:D26"/>
    <mergeCell ref="A24:A25"/>
    <mergeCell ref="B24:C25"/>
    <mergeCell ref="E24:E25"/>
    <mergeCell ref="F24:F25"/>
    <mergeCell ref="G24:G25"/>
    <mergeCell ref="H24:H25"/>
    <mergeCell ref="I24:I25"/>
    <mergeCell ref="J24:J25"/>
    <mergeCell ref="K24:K25"/>
    <mergeCell ref="L24:L25"/>
    <mergeCell ref="M24:M25"/>
    <mergeCell ref="N24:N25"/>
    <mergeCell ref="T24:T25"/>
    <mergeCell ref="A32:A33"/>
    <mergeCell ref="B32:C33"/>
    <mergeCell ref="F32:F33"/>
    <mergeCell ref="H32:H33"/>
    <mergeCell ref="J32:J33"/>
    <mergeCell ref="T32:T33"/>
    <mergeCell ref="A45:A46"/>
    <mergeCell ref="B45:C46"/>
    <mergeCell ref="T45:T46"/>
    <mergeCell ref="E46:I46"/>
    <mergeCell ref="A29:A31"/>
    <mergeCell ref="B29:C31"/>
    <mergeCell ref="F29:F31"/>
    <mergeCell ref="H29:H31"/>
    <mergeCell ref="J29:J30"/>
    <mergeCell ref="T29:T31"/>
    <mergeCell ref="A17:A19"/>
    <mergeCell ref="B17:C19"/>
    <mergeCell ref="E17:E18"/>
    <mergeCell ref="F17:F19"/>
    <mergeCell ref="G17:G18"/>
    <mergeCell ref="H17:H19"/>
    <mergeCell ref="I17:I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9"/>
  </mergeCells>
  <hyperlinks>
    <hyperlink ref="A3" r:id="rId0"/>
  </hyperlinks>
  <pageMargins left="0.7" right="0.7" top="0.75" bottom="0.75" header="0.3" footer="0.3"/>
  <pageSetup paperSize="9" fitToWidth="0" fitToHeight="0" orientation="portrait"/>
</worksheet>
</file>

<file path=xl/worksheets/sheet2.xml><?xml version="1.0" encoding="utf-8"?>
<worksheet xmlns:r="http://schemas.openxmlformats.org/officeDocument/2006/relationships" xmlns="http://schemas.openxmlformats.org/spreadsheetml/2006/main">
  <sheetPr codeName="可视化曲线">
    <tabColor/>
  </sheetPr>
  <dimension ref="AT122"/>
  <sheetViews>
    <sheetView showGridLines="1" workbookViewId="0"/>
  </sheetViews>
  <sheetFormatPr baseColWidth="13" defaultRowHeight="18" customHeight="1"/>
  <cols>
    <col min="1" max="1" width="13.6133" style="225" customWidth="1"/>
    <col min="2" max="2" width="15.6484" style="225" customWidth="1"/>
    <col min="3" max="3" width="13.6133" style="225" customWidth="1"/>
    <col min="4" max="46" width="9.84375" style="225" customWidth="1"/>
  </cols>
  <sheetData>
    <row r="1" spans="1:46" ht="39" customHeight="1">
      <c r="A1" s="199" t="s">
        <v>285</v>
      </c>
      <c r="B1" s="37" t="s"/>
      <c r="C1" s="37" t="s"/>
      <c r="D1" s="37" t="s"/>
      <c r="E1" s="37" t="s"/>
      <c r="F1" s="37" t="s"/>
      <c r="G1" s="37" t="s"/>
      <c r="H1" s="37" t="s"/>
      <c r="I1" s="37" t="s"/>
      <c r="J1" s="37" t="s"/>
      <c r="K1" s="37" t="s"/>
      <c r="L1" s="37" t="s"/>
      <c r="M1" s="37" t="s"/>
      <c r="N1" s="37" t="s"/>
      <c r="O1" s="37" t="s"/>
      <c r="P1" s="37" t="s"/>
      <c r="Q1" s="37" t="s"/>
      <c r="R1" s="37" t="s"/>
      <c r="S1" s="37" t="s"/>
      <c r="T1" s="37" t="s"/>
      <c r="U1" s="37" t="s"/>
      <c r="V1" s="37" t="s"/>
      <c r="W1" s="37" t="s"/>
      <c r="X1" s="37" t="s"/>
      <c r="Y1" s="37" t="s"/>
      <c r="Z1" s="37" t="s"/>
      <c r="AA1" s="200" t="s"/>
      <c r="AB1" s="200" t="s"/>
      <c r="AC1" s="200" t="s"/>
      <c r="AD1" s="200" t="s"/>
      <c r="AE1" s="200" t="s"/>
      <c r="AF1" s="200" t="s"/>
      <c r="AG1" s="200" t="s"/>
      <c r="AH1" s="200" t="s"/>
      <c r="AI1" s="200" t="s"/>
      <c r="AJ1" s="200" t="s"/>
      <c r="AK1" s="200" t="s"/>
      <c r="AL1" s="200" t="s"/>
      <c r="AM1" s="200" t="s"/>
      <c r="AN1" s="200" t="s"/>
      <c r="AO1" s="200" t="s"/>
      <c r="AP1" s="200" t="s"/>
      <c r="AQ1" s="200" t="s"/>
      <c r="AR1" s="200" t="s"/>
      <c r="AS1" s="200" t="s"/>
      <c r="AT1" s="200" t="s"/>
    </row>
    <row r="2" spans="1:46" ht="28.5" customHeight="1">
      <c r="A2" s="201" t="s">
        <v>425</v>
      </c>
      <c r="B2" s="37" t="s"/>
      <c r="C2" s="37" t="s"/>
      <c r="D2" s="37" t="s"/>
      <c r="E2" s="37" t="s"/>
      <c r="F2" s="37" t="s"/>
      <c r="G2" s="37" t="s"/>
      <c r="H2" s="37" t="s"/>
      <c r="I2" s="37" t="s"/>
      <c r="J2" s="37" t="s"/>
      <c r="K2" s="37" t="s"/>
      <c r="L2" s="37" t="s"/>
      <c r="M2" s="37" t="s"/>
      <c r="N2" s="37" t="s"/>
      <c r="O2" s="37" t="s"/>
      <c r="P2" s="37" t="s"/>
      <c r="Q2" s="37" t="s"/>
      <c r="R2" s="37" t="s"/>
      <c r="S2" s="37" t="s"/>
      <c r="T2" s="37" t="s"/>
      <c r="U2" s="37" t="s"/>
      <c r="V2" s="37" t="s"/>
      <c r="W2" s="37" t="s"/>
      <c r="X2" s="37" t="s"/>
      <c r="Y2" s="37" t="s"/>
      <c r="Z2" s="37" t="s"/>
      <c r="AA2" s="202" t="s"/>
      <c r="AB2" s="202" t="s"/>
      <c r="AC2" s="202" t="s"/>
      <c r="AD2" s="202" t="s"/>
      <c r="AE2" s="202" t="s"/>
      <c r="AF2" s="202" t="s"/>
      <c r="AG2" s="202" t="s"/>
      <c r="AH2" s="202" t="s"/>
      <c r="AI2" s="202" t="s"/>
      <c r="AJ2" s="202" t="s"/>
      <c r="AK2" s="202" t="s"/>
      <c r="AL2" s="202" t="s"/>
      <c r="AM2" s="202" t="s"/>
      <c r="AN2" s="202" t="s"/>
      <c r="AO2" s="202" t="s"/>
      <c r="AP2" s="202" t="s"/>
      <c r="AQ2" s="202" t="s"/>
      <c r="AR2" s="202" t="s"/>
      <c r="AS2" s="202" t="s"/>
      <c r="AT2" s="202" t="s"/>
    </row>
    <row r="3" spans="1:15">
      <c r="A3" s="203" t="s">
        <v>286</v>
      </c>
      <c r="B3" s="204" t="s">
        <v>287</v>
      </c>
      <c r="C3" s="205" t="s">
        <v>288</v>
      </c>
      <c r="D3" s="206">
        <v>1</v>
      </c>
      <c r="E3" s="206">
        <f>=16/E5</f>
        <v>0.941176470588235</v>
      </c>
      <c r="F3" s="206">
        <f>=16/F5</f>
        <v>0.888888888888889</v>
      </c>
      <c r="G3" s="206">
        <f>=16/G5</f>
        <v>0.842105263157895</v>
      </c>
      <c r="H3" s="206">
        <f>=16/H5</f>
        <v>0.8</v>
      </c>
      <c r="I3" s="206">
        <f>=16/I5</f>
        <v>0.761904761904762</v>
      </c>
      <c r="J3" s="206">
        <f>=16/J5</f>
        <v>0.727272727272727</v>
      </c>
      <c r="K3" s="206">
        <f>=16/K5</f>
        <v>0.695652173913044</v>
      </c>
      <c r="L3" s="206">
        <f>=16/L5</f>
        <v>0.666666666666667</v>
      </c>
      <c r="M3" s="206">
        <f>=16/M5</f>
        <v>0.64</v>
      </c>
      <c r="N3" s="206">
        <f>=16/N5</f>
        <v>0.615384615384616</v>
      </c>
      <c r="O3" s="206">
        <f>=16/O5</f>
        <v>0.592592592592593</v>
      </c>
    </row>
    <row r="4" spans="1:15">
      <c r="A4" s="207" t="s"/>
      <c r="B4" s="208" t="s"/>
      <c r="C4" s="209" t="s">
        <v>289</v>
      </c>
      <c r="D4" s="210">
        <v>0.85</v>
      </c>
      <c r="E4" s="210">
        <f>=D4/(D5-1)*(E5-1)</f>
        <v>0.906666666666667</v>
      </c>
      <c r="F4" s="210">
        <f>=E4/(E5-1)*(F5-1)</f>
        <v>0.963333333333333</v>
      </c>
      <c r="G4" s="210">
        <f>=F4/(F5-1)*(G5-1)</f>
        <v>1.02</v>
      </c>
      <c r="H4" s="210">
        <f>=G4/(G5-1)*(H5-1)</f>
        <v>1.07666666666667</v>
      </c>
      <c r="I4" s="210">
        <f>=H4/(H5-1)*(I5-1)</f>
        <v>1.13333333333333</v>
      </c>
      <c r="J4" s="210">
        <f>=I4/(I5-1)*(J5-1)</f>
        <v>1.19</v>
      </c>
      <c r="K4" s="210">
        <f>=J4/(J5-1)*(K5-1)</f>
        <v>1.24666666666667</v>
      </c>
      <c r="L4" s="210">
        <f>=K4/(K5-1)*(L5-1)</f>
        <v>1.30333333333333</v>
      </c>
      <c r="M4" s="210">
        <f>=L4/(L5-1)*(M5-1)</f>
        <v>1.36</v>
      </c>
      <c r="N4" s="210">
        <f>=M4/(M5-1)*(N5-1)</f>
        <v>1.41666666666667</v>
      </c>
      <c r="O4" s="210">
        <f>=N4/(N5-1)*(O5-1)</f>
        <v>1.47333333333333</v>
      </c>
    </row>
    <row r="5" spans="1:15">
      <c r="A5" s="207" t="s"/>
      <c r="B5" s="208" t="s"/>
      <c r="C5" s="209" t="s">
        <v>290</v>
      </c>
      <c r="D5" s="209">
        <v>16</v>
      </c>
      <c r="E5" s="209">
        <v>17</v>
      </c>
      <c r="F5" s="209">
        <v>18</v>
      </c>
      <c r="G5" s="209">
        <v>19</v>
      </c>
      <c r="H5" s="209">
        <v>20</v>
      </c>
      <c r="I5" s="209">
        <v>21</v>
      </c>
      <c r="J5" s="209">
        <v>22</v>
      </c>
      <c r="K5" s="209">
        <v>23</v>
      </c>
      <c r="L5" s="209">
        <v>24</v>
      </c>
      <c r="M5" s="209">
        <v>25</v>
      </c>
      <c r="N5" s="209">
        <v>26</v>
      </c>
      <c r="O5" s="209">
        <v>27</v>
      </c>
    </row>
    <row r="6" spans="1:46" ht="18" customHeight="1">
      <c r="A6" s="207" t="s"/>
      <c r="B6" s="211" t="s">
        <v>291</v>
      </c>
      <c r="C6" s="212" t="s">
        <v>288</v>
      </c>
      <c r="D6" s="213">
        <v>1</v>
      </c>
      <c r="E6" s="213">
        <f>=15/E8</f>
        <v>0.9375</v>
      </c>
      <c r="F6" s="213">
        <f>=15/F8</f>
        <v>0.882352941176471</v>
      </c>
      <c r="G6" s="213">
        <f>=15/G8</f>
        <v>0.833333333333334</v>
      </c>
      <c r="H6" s="213">
        <f>=15/H8</f>
        <v>0.789473684210527</v>
      </c>
      <c r="I6" s="213">
        <f>=15/I8</f>
        <v>0.75</v>
      </c>
      <c r="J6" s="213">
        <f>=15/J8</f>
        <v>0.714285714285714</v>
      </c>
      <c r="K6" s="213">
        <f>=15/K8</f>
        <v>0.681818181818182</v>
      </c>
      <c r="L6" s="213">
        <f>=15/L8</f>
        <v>0.652173913043478</v>
      </c>
      <c r="M6" s="213">
        <f>=15/M8</f>
        <v>0.625</v>
      </c>
      <c r="N6" s="213">
        <f>=15/N8</f>
        <v>0.6</v>
      </c>
      <c r="O6" s="213">
        <f>=15/O8</f>
        <v>0.576923076923077</v>
      </c>
      <c r="P6" s="213">
        <f>=15/P8</f>
        <v>0.555555555555556</v>
      </c>
      <c r="Q6" s="213">
        <f>=15/Q8</f>
        <v>0.535714285714286</v>
      </c>
      <c r="R6" s="214" t="s"/>
      <c r="S6" s="214" t="s"/>
      <c r="T6" s="214" t="s"/>
      <c r="U6" s="214" t="s"/>
      <c r="V6" s="214" t="s"/>
      <c r="W6" s="214" t="s"/>
      <c r="X6" s="214" t="s"/>
      <c r="Y6" s="214" t="s"/>
      <c r="Z6" s="214" t="s"/>
      <c r="AA6" s="214" t="s"/>
      <c r="AB6" s="214" t="s"/>
      <c r="AC6" s="214" t="s"/>
      <c r="AD6" s="214" t="s"/>
      <c r="AE6" s="214" t="s"/>
      <c r="AF6" s="214" t="s"/>
      <c r="AG6" s="214" t="s"/>
      <c r="AH6" s="214" t="s"/>
      <c r="AI6" s="214" t="s"/>
      <c r="AJ6" s="214" t="s"/>
      <c r="AK6" s="214" t="s"/>
      <c r="AL6" s="214" t="s"/>
      <c r="AM6" s="214" t="s"/>
      <c r="AN6" s="214" t="s"/>
      <c r="AO6" s="214" t="s"/>
      <c r="AP6" s="214" t="s"/>
      <c r="AQ6" s="214" t="s"/>
      <c r="AR6" s="214" t="s"/>
      <c r="AS6" s="214" t="s"/>
      <c r="AT6" s="214" t="s"/>
    </row>
    <row r="7" spans="1:46" ht="18" customHeight="1">
      <c r="A7" s="207" t="s"/>
      <c r="B7" s="215" t="s"/>
      <c r="C7" s="212" t="s">
        <v>289</v>
      </c>
      <c r="D7" s="216">
        <v>0.9</v>
      </c>
      <c r="E7" s="216">
        <f>=D7/(D8-1)*(E8-1)</f>
        <v>0.964285714285715</v>
      </c>
      <c r="F7" s="216">
        <f>=E7/(E8-1)*(F8-1)</f>
        <v>1.02857142857143</v>
      </c>
      <c r="G7" s="216">
        <f>=F7/(F8-1)*(G8-1)</f>
        <v>1.09285714285714</v>
      </c>
      <c r="H7" s="216">
        <f>=G7/(G8-1)*(H8-1)</f>
        <v>1.15714285714286</v>
      </c>
      <c r="I7" s="216">
        <f>=H7/(H8-1)*(I8-1)</f>
        <v>1.22142857142857</v>
      </c>
      <c r="J7" s="216">
        <f>=I7/(I8-1)*(J8-1)</f>
        <v>1.28571428571429</v>
      </c>
      <c r="K7" s="216">
        <f>=J7/(J8-1)*(K8-1)</f>
        <v>1.35</v>
      </c>
      <c r="L7" s="216">
        <f>=K7/(K8-1)*(L8-1)</f>
        <v>1.41428571428571</v>
      </c>
      <c r="M7" s="216">
        <f>=L7/(L8-1)*(M8-1)</f>
        <v>1.47857142857143</v>
      </c>
      <c r="N7" s="216">
        <f>=M7/(M8-1)*(N8-1)</f>
        <v>1.54285714285714</v>
      </c>
      <c r="O7" s="216">
        <f>=N7/(N8-1)*(O8-1)</f>
        <v>1.60714285714286</v>
      </c>
      <c r="P7" s="216">
        <f>=O7/(O8-1)*(P8-1)</f>
        <v>1.67142857142857</v>
      </c>
      <c r="Q7" s="216">
        <f>=P7/(P8-1)*(Q8-1)</f>
        <v>1.73571428571429</v>
      </c>
      <c r="R7" s="214" t="s"/>
      <c r="S7" s="214" t="s"/>
      <c r="T7" s="214" t="s"/>
      <c r="U7" s="214" t="s"/>
      <c r="V7" s="214" t="s"/>
      <c r="W7" s="214" t="s"/>
      <c r="X7" s="214" t="s"/>
      <c r="Y7" s="214" t="s"/>
      <c r="Z7" s="214" t="s"/>
      <c r="AA7" s="214" t="s"/>
      <c r="AB7" s="214" t="s"/>
      <c r="AC7" s="214" t="s"/>
      <c r="AD7" s="214" t="s"/>
      <c r="AE7" s="214" t="s"/>
      <c r="AF7" s="214" t="s"/>
      <c r="AG7" s="214" t="s"/>
      <c r="AH7" s="214" t="s"/>
      <c r="AI7" s="214" t="s"/>
      <c r="AJ7" s="214" t="s"/>
      <c r="AK7" s="214" t="s"/>
      <c r="AL7" s="214" t="s"/>
      <c r="AM7" s="214" t="s"/>
      <c r="AN7" s="214" t="s"/>
      <c r="AO7" s="214" t="s"/>
      <c r="AP7" s="214" t="s"/>
      <c r="AQ7" s="214" t="s"/>
      <c r="AR7" s="214" t="s"/>
      <c r="AS7" s="214" t="s"/>
      <c r="AT7" s="214" t="s"/>
    </row>
    <row r="8" spans="1:46" ht="18" customHeight="1">
      <c r="A8" s="207" t="s"/>
      <c r="B8" s="215" t="s"/>
      <c r="C8" s="212" t="s">
        <v>290</v>
      </c>
      <c r="D8" s="212">
        <v>15</v>
      </c>
      <c r="E8" s="212">
        <v>16</v>
      </c>
      <c r="F8" s="212">
        <v>17</v>
      </c>
      <c r="G8" s="212">
        <v>18</v>
      </c>
      <c r="H8" s="212">
        <v>19</v>
      </c>
      <c r="I8" s="212">
        <v>20</v>
      </c>
      <c r="J8" s="212">
        <v>21</v>
      </c>
      <c r="K8" s="212">
        <v>22</v>
      </c>
      <c r="L8" s="212">
        <v>23</v>
      </c>
      <c r="M8" s="212">
        <v>24</v>
      </c>
      <c r="N8" s="212">
        <v>25</v>
      </c>
      <c r="O8" s="212">
        <v>26</v>
      </c>
      <c r="P8" s="212">
        <v>27</v>
      </c>
      <c r="Q8" s="212">
        <v>28</v>
      </c>
      <c r="R8" s="214" t="s"/>
      <c r="S8" s="214" t="s"/>
      <c r="T8" s="214" t="s"/>
      <c r="U8" s="214" t="s"/>
      <c r="V8" s="214" t="s"/>
      <c r="W8" s="214" t="s"/>
      <c r="X8" s="214" t="s"/>
      <c r="Y8" s="214" t="s"/>
      <c r="Z8" s="214" t="s"/>
      <c r="AA8" s="214" t="s"/>
      <c r="AB8" s="214" t="s"/>
      <c r="AC8" s="214" t="s"/>
      <c r="AD8" s="214" t="s"/>
      <c r="AE8" s="214" t="s"/>
      <c r="AF8" s="214" t="s"/>
      <c r="AG8" s="214" t="s"/>
      <c r="AH8" s="214" t="s"/>
      <c r="AI8" s="214" t="s"/>
      <c r="AJ8" s="214" t="s"/>
      <c r="AK8" s="214" t="s"/>
      <c r="AL8" s="214" t="s"/>
      <c r="AM8" s="214" t="s"/>
      <c r="AN8" s="214" t="s"/>
      <c r="AO8" s="214" t="s"/>
      <c r="AP8" s="214" t="s"/>
      <c r="AQ8" s="214" t="s"/>
      <c r="AR8" s="214" t="s"/>
      <c r="AS8" s="214" t="s"/>
      <c r="AT8" s="214" t="s"/>
    </row>
    <row r="9" spans="1:46" ht="18" customHeight="1">
      <c r="A9" s="207" t="s"/>
      <c r="B9" s="217" t="s">
        <v>292</v>
      </c>
      <c r="C9" s="218" t="s">
        <v>288</v>
      </c>
      <c r="D9" s="213">
        <v>1</v>
      </c>
      <c r="E9" s="213">
        <f>=13/E11</f>
        <v>0.928571428571429</v>
      </c>
      <c r="F9" s="213">
        <f>=13/F11</f>
        <v>0.866666666666667</v>
      </c>
      <c r="G9" s="213">
        <f>=13/G11</f>
        <v>0.8125</v>
      </c>
      <c r="H9" s="213">
        <f>=13/H11</f>
        <v>0.764705882352941</v>
      </c>
      <c r="I9" s="213">
        <f>=13/I11</f>
        <v>0.722222222222222</v>
      </c>
      <c r="J9" s="213">
        <f>=13/J11</f>
        <v>0.68421052631579</v>
      </c>
      <c r="K9" s="213">
        <f>=13/K11</f>
        <v>0.65</v>
      </c>
      <c r="L9" s="213">
        <f>=13/L11</f>
        <v>0.619047619047619</v>
      </c>
      <c r="M9" s="213">
        <f>=13/M11</f>
        <v>0.590909090909091</v>
      </c>
      <c r="N9" s="213">
        <f>=13/N11</f>
        <v>0.565217391304348</v>
      </c>
      <c r="O9" s="213">
        <f>=13/O11</f>
        <v>0.541666666666667</v>
      </c>
      <c r="P9" s="213">
        <f>=13/P11</f>
        <v>0.52</v>
      </c>
      <c r="Q9" s="213">
        <f>=13/Q11</f>
        <v>0.5</v>
      </c>
      <c r="R9" s="213">
        <f>=13/R11</f>
        <v>0.481481481481482</v>
      </c>
      <c r="S9" s="213">
        <f>=13/S11</f>
        <v>0.464285714285714</v>
      </c>
      <c r="T9" s="213">
        <f>=13/T11</f>
        <v>0.448275862068966</v>
      </c>
      <c r="U9" s="213">
        <f>=13/U11</f>
        <v>0.433333333333333</v>
      </c>
      <c r="V9" s="213">
        <f>=13/V11</f>
        <v>0.419354838709678</v>
      </c>
      <c r="W9" s="213">
        <f>=13/W11</f>
        <v>0.40625</v>
      </c>
      <c r="X9" s="213">
        <f>=13/X11</f>
        <v>0.393939393939394</v>
      </c>
      <c r="Y9" s="213">
        <f>=13/Y11</f>
        <v>0.382352941176471</v>
      </c>
      <c r="Z9" s="213">
        <f>=13/Z11</f>
        <v>0.371428571428572</v>
      </c>
      <c r="AA9" s="219" t="s"/>
      <c r="AB9" s="219" t="s"/>
      <c r="AC9" s="219" t="s"/>
      <c r="AD9" s="219" t="s"/>
      <c r="AE9" s="219" t="s"/>
      <c r="AF9" s="219" t="s"/>
      <c r="AG9" s="219" t="s"/>
      <c r="AH9" s="219" t="s"/>
      <c r="AI9" s="219" t="s"/>
      <c r="AJ9" s="219" t="s"/>
      <c r="AK9" s="219" t="s"/>
      <c r="AL9" s="219" t="s"/>
      <c r="AM9" s="219" t="s"/>
      <c r="AN9" s="219" t="s"/>
      <c r="AO9" s="219" t="s"/>
      <c r="AP9" s="219" t="s"/>
      <c r="AQ9" s="219" t="s"/>
      <c r="AR9" s="219" t="s"/>
      <c r="AS9" s="219" t="s"/>
      <c r="AT9" s="219" t="s"/>
    </row>
    <row r="10" spans="1:46" ht="18" customHeight="1">
      <c r="A10" s="207" t="s"/>
      <c r="B10" s="215" t="s"/>
      <c r="C10" s="218" t="s">
        <v>289</v>
      </c>
      <c r="D10" s="216">
        <v>1.01</v>
      </c>
      <c r="E10" s="216">
        <v>1.05</v>
      </c>
      <c r="F10" s="216">
        <v>1.09</v>
      </c>
      <c r="G10" s="216">
        <v>1.36</v>
      </c>
      <c r="H10" s="216">
        <v>1.41</v>
      </c>
      <c r="I10" s="216">
        <v>1.46</v>
      </c>
      <c r="J10" s="216">
        <v>1.5</v>
      </c>
      <c r="K10" s="216">
        <v>1.54</v>
      </c>
      <c r="L10" s="216">
        <v>1.81</v>
      </c>
      <c r="M10" s="216">
        <v>1.86</v>
      </c>
      <c r="N10" s="216">
        <v>1.91</v>
      </c>
      <c r="O10" s="216">
        <v>1.95</v>
      </c>
      <c r="P10" s="216">
        <v>1.99</v>
      </c>
      <c r="Q10" s="216">
        <v>2.25</v>
      </c>
      <c r="R10" s="216">
        <v>2.3</v>
      </c>
      <c r="S10" s="216">
        <v>2.35</v>
      </c>
      <c r="T10" s="216">
        <v>2.4</v>
      </c>
      <c r="U10" s="216">
        <v>2.44</v>
      </c>
      <c r="V10" s="216">
        <v>2.7</v>
      </c>
      <c r="W10" s="216">
        <v>2.76</v>
      </c>
      <c r="X10" s="216">
        <v>2.8</v>
      </c>
      <c r="Y10" s="216">
        <v>2.85</v>
      </c>
      <c r="Z10" s="216">
        <v>2.9</v>
      </c>
      <c r="AA10" s="220" t="s"/>
      <c r="AB10" s="220" t="s"/>
      <c r="AC10" s="220" t="s"/>
      <c r="AD10" s="220" t="s"/>
      <c r="AE10" s="220" t="s"/>
      <c r="AF10" s="220" t="s"/>
      <c r="AG10" s="220" t="s"/>
      <c r="AH10" s="220" t="s"/>
      <c r="AI10" s="220" t="s"/>
      <c r="AJ10" s="220" t="s"/>
      <c r="AK10" s="220" t="s"/>
      <c r="AL10" s="220" t="s"/>
      <c r="AM10" s="220" t="s"/>
      <c r="AN10" s="220" t="s"/>
      <c r="AO10" s="220" t="s"/>
      <c r="AP10" s="220" t="s"/>
      <c r="AQ10" s="220" t="s"/>
      <c r="AR10" s="220" t="s"/>
      <c r="AS10" s="220" t="s"/>
      <c r="AT10" s="220" t="s"/>
    </row>
    <row r="11" spans="1:46" ht="18" customHeight="1">
      <c r="A11" s="207" t="s"/>
      <c r="B11" s="215" t="s"/>
      <c r="C11" s="218" t="s">
        <v>290</v>
      </c>
      <c r="D11" s="212">
        <v>13</v>
      </c>
      <c r="E11" s="212">
        <v>14</v>
      </c>
      <c r="F11" s="212">
        <v>15</v>
      </c>
      <c r="G11" s="212">
        <v>16</v>
      </c>
      <c r="H11" s="212">
        <v>17</v>
      </c>
      <c r="I11" s="212">
        <v>18</v>
      </c>
      <c r="J11" s="212">
        <v>19</v>
      </c>
      <c r="K11" s="212">
        <v>20</v>
      </c>
      <c r="L11" s="212">
        <v>21</v>
      </c>
      <c r="M11" s="212">
        <v>22</v>
      </c>
      <c r="N11" s="212">
        <v>23</v>
      </c>
      <c r="O11" s="212">
        <v>24</v>
      </c>
      <c r="P11" s="212">
        <v>25</v>
      </c>
      <c r="Q11" s="212">
        <v>26</v>
      </c>
      <c r="R11" s="212">
        <v>27</v>
      </c>
      <c r="S11" s="212">
        <v>28</v>
      </c>
      <c r="T11" s="212">
        <v>29</v>
      </c>
      <c r="U11" s="212">
        <v>30</v>
      </c>
      <c r="V11" s="212">
        <v>31</v>
      </c>
      <c r="W11" s="212">
        <v>32</v>
      </c>
      <c r="X11" s="212">
        <v>33</v>
      </c>
      <c r="Y11" s="212">
        <v>34</v>
      </c>
      <c r="Z11" s="212">
        <v>35</v>
      </c>
      <c r="AA11" s="214" t="s"/>
      <c r="AB11" s="214" t="s"/>
      <c r="AC11" s="214" t="s"/>
      <c r="AD11" s="214" t="s"/>
      <c r="AE11" s="214" t="s"/>
      <c r="AF11" s="214" t="s"/>
      <c r="AG11" s="214" t="s"/>
      <c r="AH11" s="214" t="s"/>
      <c r="AI11" s="214" t="s"/>
      <c r="AJ11" s="214" t="s"/>
      <c r="AK11" s="214" t="s"/>
      <c r="AL11" s="214" t="s"/>
      <c r="AM11" s="214" t="s"/>
      <c r="AN11" s="214" t="s"/>
      <c r="AO11" s="214" t="s"/>
      <c r="AP11" s="214" t="s"/>
      <c r="AQ11" s="214" t="s"/>
      <c r="AR11" s="214" t="s"/>
      <c r="AS11" s="214" t="s"/>
      <c r="AT11" s="214" t="s"/>
    </row>
    <row r="12" spans="1:46" ht="18" customHeight="1">
      <c r="A12" s="207" t="s"/>
      <c r="B12" s="217" t="s">
        <v>293</v>
      </c>
      <c r="C12" s="218" t="s">
        <v>288</v>
      </c>
      <c r="D12" s="213">
        <v>1</v>
      </c>
      <c r="E12" s="213">
        <f>=13/E14</f>
        <v>0.928571428571429</v>
      </c>
      <c r="F12" s="213">
        <f>=13/F14</f>
        <v>0.866666666666667</v>
      </c>
      <c r="G12" s="213">
        <f>=13/G14</f>
        <v>0.8125</v>
      </c>
      <c r="H12" s="213">
        <f>=13/H14</f>
        <v>0.764705882352941</v>
      </c>
      <c r="I12" s="213">
        <f>=13/I14</f>
        <v>0.722222222222222</v>
      </c>
      <c r="J12" s="213">
        <f>=13/J14</f>
        <v>0.68421052631579</v>
      </c>
      <c r="K12" s="213">
        <f>=13/K14</f>
        <v>0.65</v>
      </c>
      <c r="L12" s="213">
        <f>=13/L14</f>
        <v>0.619047619047619</v>
      </c>
      <c r="M12" s="213">
        <f>=13/M14</f>
        <v>0.590909090909091</v>
      </c>
      <c r="N12" s="213">
        <f>=13/N14</f>
        <v>0.565217391304348</v>
      </c>
      <c r="O12" s="213">
        <f>=13/O14</f>
        <v>0.541666666666667</v>
      </c>
      <c r="P12" s="213">
        <f>=13/P14</f>
        <v>0.52</v>
      </c>
      <c r="Q12" s="213">
        <f>=13/Q14</f>
        <v>0.5</v>
      </c>
      <c r="R12" s="213">
        <f>=13/R14</f>
        <v>0.481481481481482</v>
      </c>
      <c r="S12" s="213">
        <f>=13/S14</f>
        <v>0.464285714285714</v>
      </c>
      <c r="T12" s="213">
        <f>=13/T14</f>
        <v>0.448275862068966</v>
      </c>
      <c r="U12" s="213">
        <f>=13/U14</f>
        <v>0.433333333333333</v>
      </c>
      <c r="V12" s="213">
        <f>=13/V14</f>
        <v>0.419354838709678</v>
      </c>
      <c r="W12" s="213">
        <f>=13/W14</f>
        <v>0.40625</v>
      </c>
      <c r="X12" s="213">
        <f>=13/X14</f>
        <v>0.393939393939394</v>
      </c>
      <c r="Y12" s="213">
        <f>=13/Y14</f>
        <v>0.382352941176471</v>
      </c>
      <c r="Z12" s="213">
        <f>=13/Z14</f>
        <v>0.371428571428572</v>
      </c>
      <c r="AA12" s="219" t="s"/>
      <c r="AB12" s="219" t="s"/>
      <c r="AC12" s="219" t="s"/>
      <c r="AD12" s="219" t="s"/>
      <c r="AE12" s="219" t="s"/>
      <c r="AF12" s="219" t="s"/>
      <c r="AG12" s="219" t="s"/>
      <c r="AH12" s="219" t="s"/>
      <c r="AI12" s="219" t="s"/>
      <c r="AJ12" s="219" t="s"/>
      <c r="AK12" s="219" t="s"/>
      <c r="AL12" s="219" t="s"/>
      <c r="AM12" s="219" t="s"/>
      <c r="AN12" s="219" t="s"/>
      <c r="AO12" s="219" t="s"/>
      <c r="AP12" s="219" t="s"/>
      <c r="AQ12" s="219" t="s"/>
      <c r="AR12" s="219" t="s"/>
      <c r="AS12" s="219" t="s"/>
      <c r="AT12" s="219" t="s"/>
    </row>
    <row r="13" spans="1:46" ht="18" customHeight="1">
      <c r="A13" s="207" t="s"/>
      <c r="B13" s="215" t="s"/>
      <c r="C13" s="218" t="s">
        <v>289</v>
      </c>
      <c r="D13" s="216">
        <v>0.91</v>
      </c>
      <c r="E13" s="216">
        <f>=D13/(D14-1)*(E14-1)</f>
        <v>0.985833333333334</v>
      </c>
      <c r="F13" s="216">
        <f>=E13/(E14-1)*(F14-1)</f>
        <v>1.06166666666667</v>
      </c>
      <c r="G13" s="216">
        <f>=F13/(F14-1)*(G14-1)</f>
        <v>1.1375</v>
      </c>
      <c r="H13" s="216">
        <f>=G13/(G14-1)*(H14-1)</f>
        <v>1.21333333333333</v>
      </c>
      <c r="I13" s="216">
        <f>=H13/(H14-1)*(I14-1)</f>
        <v>1.28916666666667</v>
      </c>
      <c r="J13" s="216">
        <f>=I13/(I14-1)*(J14-1)</f>
        <v>1.365</v>
      </c>
      <c r="K13" s="216">
        <f>=J13/(J14-1)*(K14-1)</f>
        <v>1.44083333333333</v>
      </c>
      <c r="L13" s="216">
        <f>=K13/(K14-1)*(L14-1)</f>
        <v>1.51666666666667</v>
      </c>
      <c r="M13" s="216">
        <f>=L13/(L14-1)*(M14-1)</f>
        <v>1.5925</v>
      </c>
      <c r="N13" s="216">
        <f>=M13/(M14-1)*(N14-1)</f>
        <v>1.66833333333333</v>
      </c>
      <c r="O13" s="216">
        <f>=N13/(N14-1)*(O14-1)</f>
        <v>1.74416666666667</v>
      </c>
      <c r="P13" s="216">
        <f>=O13/(O14-1)*(P14-1)</f>
        <v>1.82</v>
      </c>
      <c r="Q13" s="216">
        <f>=P13/(P14-1)*(Q14-1)</f>
        <v>1.89583333333333</v>
      </c>
      <c r="R13" s="216">
        <f>=Q13/(Q14-1)*(R14-1)</f>
        <v>1.97166666666667</v>
      </c>
      <c r="S13" s="216">
        <f>=R13/(R14-1)*(S14-1)</f>
        <v>2.0475</v>
      </c>
      <c r="T13" s="216">
        <f>=S13/(S14-1)*(T14-1)</f>
        <v>2.12333333333333</v>
      </c>
      <c r="U13" s="216">
        <f>=T13/(T14-1)*(U14-1)</f>
        <v>2.19916666666667</v>
      </c>
      <c r="V13" s="216">
        <f>=U13/(U14-1)*(V14-1)</f>
        <v>2.275</v>
      </c>
      <c r="W13" s="216">
        <f>=V13/(V14-1)*(W14-1)</f>
        <v>2.35083333333333</v>
      </c>
      <c r="X13" s="216">
        <f>=W13/(W14-1)*(X14-1)</f>
        <v>2.42666666666667</v>
      </c>
      <c r="Y13" s="216">
        <f>=X13/(X14-1)*(Y14-1)</f>
        <v>2.5025</v>
      </c>
      <c r="Z13" s="216">
        <f>=Y13/(Y14-1)*(Z14-1)</f>
        <v>2.57833333333333</v>
      </c>
      <c r="AA13" s="220" t="s"/>
      <c r="AB13" s="220" t="s"/>
      <c r="AC13" s="220" t="s"/>
      <c r="AD13" s="220" t="s"/>
      <c r="AE13" s="220" t="s"/>
      <c r="AF13" s="220" t="s"/>
      <c r="AG13" s="220" t="s"/>
      <c r="AH13" s="220" t="s"/>
      <c r="AI13" s="220" t="s"/>
      <c r="AJ13" s="220" t="s"/>
      <c r="AK13" s="220" t="s"/>
      <c r="AL13" s="220" t="s"/>
      <c r="AM13" s="220" t="s"/>
      <c r="AN13" s="220" t="s"/>
      <c r="AO13" s="220" t="s"/>
      <c r="AP13" s="220" t="s"/>
      <c r="AQ13" s="220" t="s"/>
      <c r="AR13" s="220" t="s"/>
      <c r="AS13" s="220" t="s"/>
      <c r="AT13" s="220" t="s"/>
    </row>
    <row r="14" spans="1:46" ht="18" customHeight="1">
      <c r="A14" s="207" t="s"/>
      <c r="B14" s="215" t="s"/>
      <c r="C14" s="218" t="s">
        <v>290</v>
      </c>
      <c r="D14" s="212">
        <v>13</v>
      </c>
      <c r="E14" s="212">
        <v>14</v>
      </c>
      <c r="F14" s="212">
        <v>15</v>
      </c>
      <c r="G14" s="212">
        <v>16</v>
      </c>
      <c r="H14" s="212">
        <v>17</v>
      </c>
      <c r="I14" s="212">
        <v>18</v>
      </c>
      <c r="J14" s="212">
        <v>19</v>
      </c>
      <c r="K14" s="212">
        <v>20</v>
      </c>
      <c r="L14" s="212">
        <v>21</v>
      </c>
      <c r="M14" s="212">
        <v>22</v>
      </c>
      <c r="N14" s="212">
        <v>23</v>
      </c>
      <c r="O14" s="212">
        <v>24</v>
      </c>
      <c r="P14" s="212">
        <v>25</v>
      </c>
      <c r="Q14" s="212">
        <v>26</v>
      </c>
      <c r="R14" s="212">
        <v>27</v>
      </c>
      <c r="S14" s="212">
        <v>28</v>
      </c>
      <c r="T14" s="212">
        <v>29</v>
      </c>
      <c r="U14" s="212">
        <v>30</v>
      </c>
      <c r="V14" s="212">
        <v>31</v>
      </c>
      <c r="W14" s="212">
        <v>32</v>
      </c>
      <c r="X14" s="212">
        <v>33</v>
      </c>
      <c r="Y14" s="212">
        <v>34</v>
      </c>
      <c r="Z14" s="212">
        <v>35</v>
      </c>
      <c r="AA14" s="214" t="s"/>
      <c r="AB14" s="214" t="s"/>
      <c r="AC14" s="214" t="s"/>
      <c r="AD14" s="214" t="s"/>
      <c r="AE14" s="214" t="s"/>
      <c r="AF14" s="214" t="s"/>
      <c r="AG14" s="214" t="s"/>
      <c r="AH14" s="214" t="s"/>
      <c r="AI14" s="214" t="s"/>
      <c r="AJ14" s="214" t="s"/>
      <c r="AK14" s="214" t="s"/>
      <c r="AL14" s="214" t="s"/>
      <c r="AM14" s="214" t="s"/>
      <c r="AN14" s="214" t="s"/>
      <c r="AO14" s="214" t="s"/>
      <c r="AP14" s="214" t="s"/>
      <c r="AQ14" s="214" t="s"/>
      <c r="AR14" s="214" t="s"/>
      <c r="AS14" s="214" t="s"/>
      <c r="AT14" s="214" t="s"/>
    </row>
    <row r="15" spans="1:46" ht="18" customHeight="1">
      <c r="A15" s="207" t="s"/>
      <c r="B15" s="217" t="s">
        <v>294</v>
      </c>
      <c r="C15" s="218" t="s">
        <v>288</v>
      </c>
      <c r="D15" s="213">
        <v>1</v>
      </c>
      <c r="E15" s="213">
        <f>=13/E17</f>
        <v>0.928571428571429</v>
      </c>
      <c r="F15" s="213">
        <f>=13/F17</f>
        <v>0.866666666666667</v>
      </c>
      <c r="G15" s="213">
        <f>=13/G17</f>
        <v>0.8125</v>
      </c>
      <c r="H15" s="213">
        <f>=13/H17</f>
        <v>0.764705882352941</v>
      </c>
      <c r="I15" s="213">
        <f>=13/I17</f>
        <v>0.722222222222222</v>
      </c>
      <c r="J15" s="213">
        <f>=13/J17</f>
        <v>0.68421052631579</v>
      </c>
      <c r="K15" s="213">
        <f>=13/K17</f>
        <v>0.65</v>
      </c>
      <c r="L15" s="213">
        <f>=13/L17</f>
        <v>0.619047619047619</v>
      </c>
      <c r="M15" s="213">
        <f>=13/M17</f>
        <v>0.590909090909091</v>
      </c>
      <c r="N15" s="213">
        <f>=13/N17</f>
        <v>0.565217391304348</v>
      </c>
      <c r="O15" s="213">
        <f>=13/O17</f>
        <v>0.541666666666667</v>
      </c>
      <c r="P15" s="213">
        <f>=13/P17</f>
        <v>0.52</v>
      </c>
      <c r="Q15" s="213">
        <f>=13/Q17</f>
        <v>0.5</v>
      </c>
      <c r="R15" s="213">
        <f>=13/R17</f>
        <v>0.481481481481482</v>
      </c>
      <c r="S15" s="213">
        <f>=13/S17</f>
        <v>0.464285714285714</v>
      </c>
      <c r="T15" s="213">
        <f>=13/T17</f>
        <v>0.448275862068966</v>
      </c>
      <c r="U15" s="214" t="s"/>
      <c r="V15" s="214" t="s"/>
      <c r="W15" s="214" t="s"/>
      <c r="X15" s="214" t="s"/>
      <c r="Y15" s="214" t="s"/>
      <c r="Z15" s="214" t="s"/>
      <c r="AA15" s="214" t="s"/>
      <c r="AB15" s="214" t="s"/>
      <c r="AC15" s="214" t="s"/>
      <c r="AD15" s="214" t="s"/>
      <c r="AE15" s="214" t="s"/>
      <c r="AF15" s="214" t="s"/>
      <c r="AG15" s="214" t="s"/>
      <c r="AH15" s="214" t="s"/>
      <c r="AI15" s="214" t="s"/>
      <c r="AJ15" s="214" t="s"/>
      <c r="AK15" s="214" t="s"/>
      <c r="AL15" s="214" t="s"/>
      <c r="AM15" s="214" t="s"/>
      <c r="AN15" s="214" t="s"/>
      <c r="AO15" s="214" t="s"/>
      <c r="AP15" s="214" t="s"/>
      <c r="AQ15" s="214" t="s"/>
      <c r="AR15" s="214" t="s"/>
      <c r="AS15" s="214" t="s"/>
      <c r="AT15" s="214" t="s"/>
    </row>
    <row r="16" spans="1:46" ht="18" customHeight="1">
      <c r="A16" s="207" t="s"/>
      <c r="B16" s="215" t="s"/>
      <c r="C16" s="218" t="s">
        <v>289</v>
      </c>
      <c r="D16" s="216">
        <v>1</v>
      </c>
      <c r="E16" s="216">
        <f>=D16/(D17-1)*(E17-1)</f>
        <v>1.08333333333333</v>
      </c>
      <c r="F16" s="216">
        <f>=E16/(E17-1)*(F17-1)</f>
        <v>1.16666666666667</v>
      </c>
      <c r="G16" s="216">
        <f>=F16/(F17-1)*(G17-1)</f>
        <v>1.25</v>
      </c>
      <c r="H16" s="216">
        <f>=G16/(G17-1)*(H17-1)</f>
        <v>1.33333333333333</v>
      </c>
      <c r="I16" s="216">
        <f>=H16/(H17-1)*(I17-1)</f>
        <v>1.41666666666667</v>
      </c>
      <c r="J16" s="216">
        <f>=I16/(I17-1)*(J17-1)</f>
        <v>1.5</v>
      </c>
      <c r="K16" s="216">
        <f>=J16/(J17-1)*(K17-1)</f>
        <v>1.58333333333333</v>
      </c>
      <c r="L16" s="216">
        <f>=K16/(K17-1)*(L17-1)</f>
        <v>1.66666666666667</v>
      </c>
      <c r="M16" s="216">
        <f>=L16/(L17-1)*(M17-1)</f>
        <v>1.75</v>
      </c>
      <c r="N16" s="216">
        <f>=M16/(M17-1)*(N17-1)</f>
        <v>1.83333333333333</v>
      </c>
      <c r="O16" s="216">
        <f>=N16/(N17-1)*(O17-1)</f>
        <v>1.91666666666667</v>
      </c>
      <c r="P16" s="216">
        <f>=O16/(O17-1)*(P17-1)</f>
        <v>2</v>
      </c>
      <c r="Q16" s="216">
        <f>=P16/(P17-1)*(Q17-1)</f>
        <v>2.08333333333333</v>
      </c>
      <c r="R16" s="216">
        <f>=Q16/(Q17-1)*(R17-1)</f>
        <v>2.16666666666667</v>
      </c>
      <c r="S16" s="216">
        <f>=R16/(R17-1)*(S17-1)</f>
        <v>2.25</v>
      </c>
      <c r="T16" s="216">
        <f>=S16/(S17-1)*(T17-1)</f>
        <v>2.33333333333333</v>
      </c>
      <c r="U16" s="214" t="s"/>
      <c r="V16" s="214" t="s"/>
      <c r="W16" s="214" t="s"/>
      <c r="X16" s="214" t="s"/>
      <c r="Y16" s="214" t="s"/>
      <c r="Z16" s="214" t="s"/>
      <c r="AA16" s="214" t="s"/>
      <c r="AB16" s="214" t="s"/>
      <c r="AC16" s="214" t="s"/>
      <c r="AD16" s="214" t="s"/>
      <c r="AE16" s="214" t="s"/>
      <c r="AF16" s="214" t="s"/>
      <c r="AG16" s="214" t="s"/>
      <c r="AH16" s="214" t="s"/>
      <c r="AI16" s="214" t="s"/>
      <c r="AJ16" s="214" t="s"/>
      <c r="AK16" s="214" t="s"/>
      <c r="AL16" s="214" t="s"/>
      <c r="AM16" s="214" t="s"/>
      <c r="AN16" s="214" t="s"/>
      <c r="AO16" s="214" t="s"/>
      <c r="AP16" s="214" t="s"/>
      <c r="AQ16" s="214" t="s"/>
      <c r="AR16" s="214" t="s"/>
      <c r="AS16" s="214" t="s"/>
      <c r="AT16" s="214" t="s"/>
    </row>
    <row r="17" spans="1:46" ht="18" customHeight="1">
      <c r="A17" s="207" t="s"/>
      <c r="B17" s="215" t="s"/>
      <c r="C17" s="218" t="s">
        <v>290</v>
      </c>
      <c r="D17" s="212">
        <v>13</v>
      </c>
      <c r="E17" s="212">
        <v>14</v>
      </c>
      <c r="F17" s="212">
        <v>15</v>
      </c>
      <c r="G17" s="212">
        <v>16</v>
      </c>
      <c r="H17" s="212">
        <v>17</v>
      </c>
      <c r="I17" s="212">
        <v>18</v>
      </c>
      <c r="J17" s="212">
        <v>19</v>
      </c>
      <c r="K17" s="212">
        <v>20</v>
      </c>
      <c r="L17" s="212">
        <v>21</v>
      </c>
      <c r="M17" s="212">
        <v>22</v>
      </c>
      <c r="N17" s="212">
        <v>23</v>
      </c>
      <c r="O17" s="212">
        <v>24</v>
      </c>
      <c r="P17" s="212">
        <v>25</v>
      </c>
      <c r="Q17" s="212">
        <v>26</v>
      </c>
      <c r="R17" s="212">
        <v>27</v>
      </c>
      <c r="S17" s="212">
        <v>28</v>
      </c>
      <c r="T17" s="212">
        <v>29</v>
      </c>
      <c r="U17" s="214" t="s"/>
      <c r="V17" s="214" t="s"/>
      <c r="W17" s="214" t="s"/>
      <c r="X17" s="214" t="s"/>
      <c r="Y17" s="214" t="s"/>
      <c r="Z17" s="214" t="s"/>
      <c r="AA17" s="214" t="s"/>
      <c r="AB17" s="214" t="s"/>
      <c r="AC17" s="214" t="s"/>
      <c r="AD17" s="214" t="s"/>
      <c r="AE17" s="214" t="s"/>
      <c r="AF17" s="214" t="s"/>
      <c r="AG17" s="214" t="s"/>
      <c r="AH17" s="214" t="s"/>
      <c r="AI17" s="214" t="s"/>
      <c r="AJ17" s="214" t="s"/>
      <c r="AK17" s="214" t="s"/>
      <c r="AL17" s="214" t="s"/>
      <c r="AM17" s="214" t="s"/>
      <c r="AN17" s="214" t="s"/>
      <c r="AO17" s="214" t="s"/>
      <c r="AP17" s="214" t="s"/>
      <c r="AQ17" s="214" t="s"/>
      <c r="AR17" s="214" t="s"/>
      <c r="AS17" s="214" t="s"/>
      <c r="AT17" s="214" t="s"/>
    </row>
    <row r="18" spans="1:46" ht="18" customHeight="1">
      <c r="A18" s="207" t="s"/>
      <c r="B18" s="217" t="s">
        <v>295</v>
      </c>
      <c r="C18" s="218" t="s">
        <v>288</v>
      </c>
      <c r="D18" s="213">
        <v>1</v>
      </c>
      <c r="E18" s="213">
        <f>=13/E20</f>
        <v>0.928571428571429</v>
      </c>
      <c r="F18" s="213">
        <f>=13/F20</f>
        <v>0.866666666666667</v>
      </c>
      <c r="G18" s="213">
        <f>=13/G20</f>
        <v>0.8125</v>
      </c>
      <c r="H18" s="213">
        <f>=13/H20</f>
        <v>0.764705882352941</v>
      </c>
      <c r="I18" s="213">
        <f>=13/I20</f>
        <v>0.722222222222222</v>
      </c>
      <c r="J18" s="213">
        <f>=13/J20</f>
        <v>0.68421052631579</v>
      </c>
      <c r="K18" s="213">
        <f>=13/K20</f>
        <v>0.65</v>
      </c>
      <c r="L18" s="213">
        <f>=13/L20</f>
        <v>0.619047619047619</v>
      </c>
      <c r="M18" s="213">
        <f>=13/M20</f>
        <v>0.590909090909091</v>
      </c>
      <c r="N18" s="213">
        <f>=13/N20</f>
        <v>0.565217391304348</v>
      </c>
      <c r="O18" s="213">
        <f>=13/O20</f>
        <v>0.541666666666667</v>
      </c>
      <c r="P18" s="213">
        <f>=13/P20</f>
        <v>0.52</v>
      </c>
      <c r="Q18" s="213">
        <f>=13/Q20</f>
        <v>0.5</v>
      </c>
      <c r="R18" s="213">
        <f>=13/R20</f>
        <v>0.481481481481482</v>
      </c>
      <c r="S18" s="214" t="s"/>
      <c r="T18" s="214" t="s"/>
      <c r="U18" s="214" t="s"/>
      <c r="V18" s="214" t="s"/>
      <c r="W18" s="214" t="s"/>
      <c r="X18" s="214" t="s"/>
      <c r="Y18" s="214" t="s"/>
      <c r="Z18" s="214" t="s"/>
      <c r="AA18" s="214" t="s"/>
      <c r="AB18" s="214" t="s"/>
      <c r="AC18" s="214" t="s"/>
      <c r="AD18" s="214" t="s"/>
      <c r="AE18" s="214" t="s"/>
      <c r="AF18" s="214" t="s"/>
      <c r="AG18" s="214" t="s"/>
      <c r="AH18" s="214" t="s"/>
      <c r="AI18" s="214" t="s"/>
      <c r="AJ18" s="214" t="s"/>
      <c r="AK18" s="214" t="s"/>
      <c r="AL18" s="214" t="s"/>
      <c r="AM18" s="214" t="s"/>
      <c r="AN18" s="214" t="s"/>
      <c r="AO18" s="214" t="s"/>
      <c r="AP18" s="214" t="s"/>
      <c r="AQ18" s="214" t="s"/>
      <c r="AR18" s="214" t="s"/>
      <c r="AS18" s="214" t="s"/>
      <c r="AT18" s="214" t="s"/>
    </row>
    <row r="19" spans="1:46" ht="18" customHeight="1">
      <c r="A19" s="207" t="s"/>
      <c r="B19" s="215" t="s"/>
      <c r="C19" s="218" t="s">
        <v>289</v>
      </c>
      <c r="D19" s="216">
        <v>1</v>
      </c>
      <c r="E19" s="216">
        <f>=D19/(D20-1)*(E20-1)</f>
        <v>1.08333333333333</v>
      </c>
      <c r="F19" s="216">
        <f>=E19/(E20-1)*(F20-1)</f>
        <v>1.16666666666667</v>
      </c>
      <c r="G19" s="216">
        <f>=F19/(F20-1)*(G20-1)</f>
        <v>1.25</v>
      </c>
      <c r="H19" s="216">
        <f>=G19/(G20-1)*(H20-1)</f>
        <v>1.33333333333333</v>
      </c>
      <c r="I19" s="216">
        <f>=H19/(H20-1)*(I20-1)</f>
        <v>1.41666666666667</v>
      </c>
      <c r="J19" s="216">
        <f>=I19/(I20-1)*(J20-1)</f>
        <v>1.5</v>
      </c>
      <c r="K19" s="216">
        <f>=J19/(J20-1)*(K20-1)</f>
        <v>1.58333333333333</v>
      </c>
      <c r="L19" s="216">
        <f>=K19/(K20-1)*(L20-1)</f>
        <v>1.66666666666667</v>
      </c>
      <c r="M19" s="216">
        <f>=L19/(L20-1)*(M20-1)</f>
        <v>1.75</v>
      </c>
      <c r="N19" s="216">
        <f>=M19/(M20-1)*(N20-1)</f>
        <v>1.83333333333333</v>
      </c>
      <c r="O19" s="216">
        <f>=N19/(N20-1)*(O20-1)</f>
        <v>1.91666666666667</v>
      </c>
      <c r="P19" s="216">
        <f>=O19/(O20-1)*(P20-1)</f>
        <v>2</v>
      </c>
      <c r="Q19" s="216">
        <f>=P19/(P20-1)*(Q20-1)</f>
        <v>2.08333333333333</v>
      </c>
      <c r="R19" s="216">
        <f>=Q19/(Q20-1)*(R20-1)</f>
        <v>2.16666666666667</v>
      </c>
      <c r="S19" s="214" t="s"/>
      <c r="T19" s="214" t="s"/>
      <c r="U19" s="214" t="s"/>
      <c r="V19" s="214" t="s"/>
      <c r="W19" s="214" t="s"/>
      <c r="X19" s="214" t="s"/>
      <c r="Y19" s="214" t="s"/>
      <c r="Z19" s="214" t="s"/>
      <c r="AA19" s="214" t="s"/>
      <c r="AB19" s="214" t="s"/>
      <c r="AC19" s="214" t="s"/>
      <c r="AD19" s="214" t="s"/>
      <c r="AE19" s="214" t="s"/>
      <c r="AF19" s="214" t="s"/>
      <c r="AG19" s="214" t="s"/>
      <c r="AH19" s="214" t="s"/>
      <c r="AI19" s="214" t="s"/>
      <c r="AJ19" s="214" t="s"/>
      <c r="AK19" s="214" t="s"/>
      <c r="AL19" s="214" t="s"/>
      <c r="AM19" s="214" t="s"/>
      <c r="AN19" s="214" t="s"/>
      <c r="AO19" s="214" t="s"/>
      <c r="AP19" s="214" t="s"/>
      <c r="AQ19" s="214" t="s"/>
      <c r="AR19" s="214" t="s"/>
      <c r="AS19" s="214" t="s"/>
      <c r="AT19" s="214" t="s"/>
    </row>
    <row r="20" spans="1:46" ht="18" customHeight="1">
      <c r="A20" s="207" t="s"/>
      <c r="B20" s="215" t="s"/>
      <c r="C20" s="218" t="s">
        <v>290</v>
      </c>
      <c r="D20" s="212">
        <v>13</v>
      </c>
      <c r="E20" s="212">
        <v>14</v>
      </c>
      <c r="F20" s="212">
        <v>15</v>
      </c>
      <c r="G20" s="212">
        <v>16</v>
      </c>
      <c r="H20" s="212">
        <v>17</v>
      </c>
      <c r="I20" s="212">
        <v>18</v>
      </c>
      <c r="J20" s="212">
        <v>19</v>
      </c>
      <c r="K20" s="212">
        <v>20</v>
      </c>
      <c r="L20" s="212">
        <v>21</v>
      </c>
      <c r="M20" s="212">
        <v>22</v>
      </c>
      <c r="N20" s="212">
        <v>23</v>
      </c>
      <c r="O20" s="212">
        <v>24</v>
      </c>
      <c r="P20" s="212">
        <v>25</v>
      </c>
      <c r="Q20" s="212">
        <v>26</v>
      </c>
      <c r="R20" s="212">
        <v>27</v>
      </c>
      <c r="S20" s="214" t="s"/>
      <c r="T20" s="214" t="s"/>
      <c r="U20" s="214" t="s"/>
      <c r="V20" s="214" t="s"/>
      <c r="W20" s="214" t="s"/>
      <c r="X20" s="214" t="s"/>
      <c r="Y20" s="214" t="s"/>
      <c r="Z20" s="214" t="s"/>
      <c r="AA20" s="214" t="s"/>
      <c r="AB20" s="214" t="s"/>
      <c r="AC20" s="214" t="s"/>
      <c r="AD20" s="214" t="s"/>
      <c r="AE20" s="214" t="s"/>
      <c r="AF20" s="214" t="s"/>
      <c r="AG20" s="214" t="s"/>
      <c r="AH20" s="214" t="s"/>
      <c r="AI20" s="214" t="s"/>
      <c r="AJ20" s="214" t="s"/>
      <c r="AK20" s="214" t="s"/>
      <c r="AL20" s="214" t="s"/>
      <c r="AM20" s="214" t="s"/>
      <c r="AN20" s="214" t="s"/>
      <c r="AO20" s="214" t="s"/>
      <c r="AP20" s="214" t="s"/>
      <c r="AQ20" s="214" t="s"/>
      <c r="AR20" s="214" t="s"/>
      <c r="AS20" s="214" t="s"/>
      <c r="AT20" s="214" t="s"/>
    </row>
    <row r="21" spans="1:46" ht="18" customHeight="1">
      <c r="A21" s="207" t="s"/>
      <c r="B21" s="217" t="s">
        <v>296</v>
      </c>
      <c r="C21" s="218" t="s">
        <v>288</v>
      </c>
      <c r="D21" s="213">
        <v>1</v>
      </c>
      <c r="E21" s="213">
        <f>=12/E23</f>
        <v>0.923076923076923</v>
      </c>
      <c r="F21" s="213">
        <f>=12/F23</f>
        <v>0.857142857142857</v>
      </c>
      <c r="G21" s="213">
        <f>=12/G23</f>
        <v>0.8</v>
      </c>
      <c r="H21" s="213">
        <f>=12/H23</f>
        <v>0.75</v>
      </c>
      <c r="I21" s="213">
        <f>=12/I23</f>
        <v>0.705882352941177</v>
      </c>
      <c r="J21" s="213">
        <f>=12/J23</f>
        <v>0.666666666666667</v>
      </c>
      <c r="K21" s="213">
        <f>=12/K23</f>
        <v>0.631578947368421</v>
      </c>
      <c r="L21" s="213">
        <f>=12/L23</f>
        <v>0.6</v>
      </c>
      <c r="M21" s="213">
        <f>=12/M23</f>
        <v>0.571428571428572</v>
      </c>
      <c r="N21" s="213">
        <f>=12/N23</f>
        <v>0.545454545454546</v>
      </c>
      <c r="O21" s="213">
        <f>=12/O23</f>
        <v>0.521739130434783</v>
      </c>
      <c r="P21" s="213">
        <f>=12/P23</f>
        <v>0.5</v>
      </c>
      <c r="Q21" s="213">
        <f>=12/Q23</f>
        <v>0.48</v>
      </c>
      <c r="R21" s="221" t="s"/>
      <c r="S21" s="221" t="s"/>
      <c r="T21" s="221" t="s"/>
      <c r="U21" s="221" t="s"/>
      <c r="V21" s="214" t="s"/>
      <c r="W21" s="222" t="s"/>
      <c r="X21" s="222" t="s"/>
      <c r="Y21" s="222" t="s"/>
      <c r="Z21" s="222" t="s"/>
      <c r="AA21" s="222" t="s"/>
      <c r="AB21" s="222" t="s"/>
      <c r="AC21" s="222" t="s"/>
      <c r="AD21" s="222" t="s"/>
      <c r="AE21" s="222" t="s"/>
      <c r="AF21" s="222" t="s"/>
      <c r="AG21" s="222" t="s"/>
      <c r="AH21" s="222" t="s"/>
      <c r="AI21" s="222" t="s"/>
      <c r="AJ21" s="222" t="s"/>
      <c r="AK21" s="222" t="s"/>
      <c r="AL21" s="222" t="s"/>
      <c r="AM21" s="222" t="s"/>
      <c r="AN21" s="222" t="s"/>
      <c r="AO21" s="222" t="s"/>
      <c r="AP21" s="222" t="s"/>
      <c r="AQ21" s="222" t="s"/>
      <c r="AR21" s="222" t="s"/>
      <c r="AS21" s="222" t="s"/>
      <c r="AT21" s="222" t="s"/>
    </row>
    <row r="22" spans="1:46" ht="18" customHeight="1">
      <c r="A22" s="207" t="s"/>
      <c r="B22" s="215" t="s"/>
      <c r="C22" s="218" t="s">
        <v>289</v>
      </c>
      <c r="D22" s="216">
        <v>1.1</v>
      </c>
      <c r="E22" s="216">
        <f>=D22/(D23-1)*(E23-1)</f>
        <v>1.2</v>
      </c>
      <c r="F22" s="216">
        <f>=E22/(E23-1)*(F23-1)</f>
        <v>1.3</v>
      </c>
      <c r="G22" s="216">
        <f>=F22/(F23-1)*(G23-1)</f>
        <v>1.4</v>
      </c>
      <c r="H22" s="216">
        <f>=G22/(G23-1)*(H23-1)</f>
        <v>1.5</v>
      </c>
      <c r="I22" s="216">
        <f>=H22/(H23-1)*(I23-1)</f>
        <v>1.6</v>
      </c>
      <c r="J22" s="216">
        <f>=I22/(I23-1)*(J23-1)</f>
        <v>1.7</v>
      </c>
      <c r="K22" s="216">
        <f>=J22/(J23-1)*(K23-1)</f>
        <v>1.8</v>
      </c>
      <c r="L22" s="216">
        <f>=K22/(K23-1)*(L23-1)</f>
        <v>1.9</v>
      </c>
      <c r="M22" s="216">
        <f>=L22/(L23-1)*(M23-1)</f>
        <v>2</v>
      </c>
      <c r="N22" s="216">
        <f>=M22/(M23-1)*(N23-1)</f>
        <v>2.1</v>
      </c>
      <c r="O22" s="216">
        <f>=N22/(N23-1)*(O23-1)</f>
        <v>2.2</v>
      </c>
      <c r="P22" s="216">
        <f>=O22/(O23-1)*(P23-1)</f>
        <v>2.3</v>
      </c>
      <c r="Q22" s="216">
        <f>=P22/(P23-1)*(Q23-1)</f>
        <v>2.4</v>
      </c>
      <c r="R22" s="221" t="s"/>
      <c r="S22" s="221" t="s"/>
      <c r="T22" s="221" t="s"/>
      <c r="U22" s="221" t="s"/>
      <c r="V22" s="214" t="s"/>
      <c r="W22" s="222" t="s"/>
      <c r="X22" s="222" t="s"/>
      <c r="Y22" s="222" t="s"/>
      <c r="Z22" s="222" t="s"/>
      <c r="AA22" s="222" t="s"/>
      <c r="AB22" s="222" t="s"/>
      <c r="AC22" s="222" t="s"/>
      <c r="AD22" s="222" t="s"/>
      <c r="AE22" s="222" t="s"/>
      <c r="AF22" s="222" t="s"/>
      <c r="AG22" s="222" t="s"/>
      <c r="AH22" s="222" t="s"/>
      <c r="AI22" s="222" t="s"/>
      <c r="AJ22" s="222" t="s"/>
      <c r="AK22" s="222" t="s"/>
      <c r="AL22" s="222" t="s"/>
      <c r="AM22" s="222" t="s"/>
      <c r="AN22" s="222" t="s"/>
      <c r="AO22" s="222" t="s"/>
      <c r="AP22" s="222" t="s"/>
      <c r="AQ22" s="222" t="s"/>
      <c r="AR22" s="222" t="s"/>
      <c r="AS22" s="222" t="s"/>
      <c r="AT22" s="222" t="s"/>
    </row>
    <row r="23" spans="1:46" ht="18" customHeight="1">
      <c r="A23" s="207" t="s"/>
      <c r="B23" s="215" t="s"/>
      <c r="C23" s="218" t="s">
        <v>290</v>
      </c>
      <c r="D23" s="212">
        <v>12</v>
      </c>
      <c r="E23" s="212">
        <v>13</v>
      </c>
      <c r="F23" s="212">
        <v>14</v>
      </c>
      <c r="G23" s="212">
        <v>15</v>
      </c>
      <c r="H23" s="212">
        <v>16</v>
      </c>
      <c r="I23" s="212">
        <v>17</v>
      </c>
      <c r="J23" s="212">
        <v>18</v>
      </c>
      <c r="K23" s="212">
        <v>19</v>
      </c>
      <c r="L23" s="212">
        <v>20</v>
      </c>
      <c r="M23" s="212">
        <v>21</v>
      </c>
      <c r="N23" s="212">
        <v>22</v>
      </c>
      <c r="O23" s="212">
        <v>23</v>
      </c>
      <c r="P23" s="212">
        <v>24</v>
      </c>
      <c r="Q23" s="212">
        <v>25</v>
      </c>
      <c r="R23" s="221" t="s"/>
      <c r="S23" s="221" t="s"/>
      <c r="T23" s="221" t="s"/>
      <c r="U23" s="221" t="s"/>
      <c r="V23" s="214" t="s"/>
      <c r="W23" s="222" t="s"/>
      <c r="X23" s="222" t="s"/>
      <c r="Y23" s="222" t="s"/>
      <c r="Z23" s="222" t="s"/>
      <c r="AA23" s="222" t="s"/>
      <c r="AB23" s="222" t="s"/>
      <c r="AC23" s="222" t="s"/>
      <c r="AD23" s="222" t="s"/>
      <c r="AE23" s="222" t="s"/>
      <c r="AF23" s="222" t="s"/>
      <c r="AG23" s="222" t="s"/>
      <c r="AH23" s="222" t="s"/>
      <c r="AI23" s="222" t="s"/>
      <c r="AJ23" s="222" t="s"/>
      <c r="AK23" s="222" t="s"/>
      <c r="AL23" s="222" t="s"/>
      <c r="AM23" s="222" t="s"/>
      <c r="AN23" s="222" t="s"/>
      <c r="AO23" s="222" t="s"/>
      <c r="AP23" s="222" t="s"/>
      <c r="AQ23" s="222" t="s"/>
      <c r="AR23" s="222" t="s"/>
      <c r="AS23" s="222" t="s"/>
      <c r="AT23" s="222" t="s"/>
    </row>
    <row r="24" spans="1:22" ht="18" customHeight="1">
      <c r="A24" s="207" t="s"/>
      <c r="B24" s="217" t="s">
        <v>297</v>
      </c>
      <c r="C24" s="218" t="s">
        <v>288</v>
      </c>
      <c r="D24" s="223">
        <v>1</v>
      </c>
      <c r="E24" s="223">
        <f>=9/E26</f>
        <v>1</v>
      </c>
      <c r="F24" s="223">
        <f>=9/F26</f>
        <v>0.9</v>
      </c>
      <c r="G24" s="223">
        <f>=9/G26</f>
        <v>0.818181818181818</v>
      </c>
      <c r="H24" s="223">
        <f>=9/H26</f>
        <v>0.75</v>
      </c>
      <c r="I24" s="223">
        <f>=9/I26</f>
        <v>0.692307692307692</v>
      </c>
      <c r="J24" s="223">
        <f>=9/J26</f>
        <v>0.642857142857143</v>
      </c>
      <c r="K24" s="223">
        <f>=9/K26</f>
        <v>0.6</v>
      </c>
      <c r="L24" s="223">
        <f>=9/L26</f>
        <v>0.5625</v>
      </c>
      <c r="M24" s="223">
        <f>=9/M26</f>
        <v>0.529411764705883</v>
      </c>
      <c r="N24" s="223">
        <f>=9/N26</f>
        <v>0.5</v>
      </c>
      <c r="O24" s="223">
        <f>=9/O26</f>
        <v>0.473684210526316</v>
      </c>
      <c r="P24" s="223">
        <f>=9/P26</f>
        <v>0.45</v>
      </c>
      <c r="Q24" s="223">
        <f>=9/Q26</f>
        <v>0.428571428571429</v>
      </c>
      <c r="R24" s="223">
        <f>=9/R26</f>
        <v>0.409090909090909</v>
      </c>
      <c r="S24" s="224" t="s"/>
      <c r="T24" s="224" t="s"/>
      <c r="U24" s="224" t="s"/>
      <c r="V24" s="225" t="s"/>
    </row>
    <row r="25" spans="1:22" ht="18" customHeight="1">
      <c r="A25" s="207" t="s"/>
      <c r="B25" s="215" t="s"/>
      <c r="C25" s="218" t="s">
        <v>289</v>
      </c>
      <c r="D25" s="210">
        <v>0.89</v>
      </c>
      <c r="E25" s="210">
        <f>=D25/(D26-1)*(E26-1)</f>
        <v>1.01714285714286</v>
      </c>
      <c r="F25" s="210">
        <f>=E25/(E26-1)*(F26-1)</f>
        <v>1.14428571428571</v>
      </c>
      <c r="G25" s="210">
        <f>=F25/(F26-1)*(G26-1)</f>
        <v>1.27142857142857</v>
      </c>
      <c r="H25" s="210">
        <f>=G25/(G26-1)*(H26-1)</f>
        <v>1.39857142857143</v>
      </c>
      <c r="I25" s="210">
        <f>=H25/(H26-1)*(I26-1)</f>
        <v>1.52571428571429</v>
      </c>
      <c r="J25" s="210">
        <f>=I25/(I26-1)*(J26-1)</f>
        <v>1.65285714285714</v>
      </c>
      <c r="K25" s="210">
        <f>=J25/(J26-1)*(K26-1)</f>
        <v>1.78</v>
      </c>
      <c r="L25" s="210">
        <f>=K25/(K26-1)*(L26-1)</f>
        <v>1.90714285714286</v>
      </c>
      <c r="M25" s="210">
        <f>=L25/(L26-1)*(M26-1)</f>
        <v>2.03428571428571</v>
      </c>
      <c r="N25" s="210">
        <f>=M25/(M26-1)*(N26-1)</f>
        <v>2.16142857142857</v>
      </c>
      <c r="O25" s="210">
        <f>=N25/(N26-1)*(O26-1)</f>
        <v>2.28857142857143</v>
      </c>
      <c r="P25" s="210">
        <f>=O25/(O26-1)*(P26-1)</f>
        <v>2.41571428571429</v>
      </c>
      <c r="Q25" s="210">
        <f>=P25/(P26-1)*(Q26-1)</f>
        <v>2.54285714285714</v>
      </c>
      <c r="R25" s="210">
        <f>=Q25/(Q26-1)*(R26-1)</f>
        <v>2.67</v>
      </c>
      <c r="S25" s="224" t="s"/>
      <c r="T25" s="224" t="s"/>
      <c r="U25" s="224" t="s"/>
      <c r="V25" s="225" t="s"/>
    </row>
    <row r="26" spans="1:22" ht="18" customHeight="1">
      <c r="A26" s="207" t="s"/>
      <c r="B26" s="215" t="s"/>
      <c r="C26" s="218" t="s">
        <v>290</v>
      </c>
      <c r="D26" s="209">
        <v>8</v>
      </c>
      <c r="E26" s="209">
        <v>9</v>
      </c>
      <c r="F26" s="209">
        <v>10</v>
      </c>
      <c r="G26" s="209">
        <v>11</v>
      </c>
      <c r="H26" s="209">
        <v>12</v>
      </c>
      <c r="I26" s="209">
        <v>13</v>
      </c>
      <c r="J26" s="209">
        <v>14</v>
      </c>
      <c r="K26" s="209">
        <v>15</v>
      </c>
      <c r="L26" s="209">
        <v>16</v>
      </c>
      <c r="M26" s="209">
        <v>17</v>
      </c>
      <c r="N26" s="209">
        <v>18</v>
      </c>
      <c r="O26" s="209">
        <v>19</v>
      </c>
      <c r="P26" s="209">
        <v>20</v>
      </c>
      <c r="Q26" s="209">
        <v>21</v>
      </c>
      <c r="R26" s="209">
        <v>22</v>
      </c>
      <c r="S26" s="226" t="s"/>
      <c r="T26" s="226" t="s"/>
      <c r="U26" s="226" t="s"/>
      <c r="V26" s="225" t="s"/>
    </row>
    <row r="27" spans="1:14" ht="18" customHeight="1">
      <c r="A27" s="207" t="s"/>
      <c r="B27" s="217" t="s">
        <v>298</v>
      </c>
      <c r="C27" s="218" t="s">
        <v>288</v>
      </c>
      <c r="D27" s="223">
        <v>1</v>
      </c>
      <c r="E27" s="223">
        <f>=9/E29</f>
        <v>0.9</v>
      </c>
      <c r="F27" s="224" t="s"/>
      <c r="G27" s="224" t="s"/>
      <c r="H27" s="224" t="s"/>
      <c r="I27" s="224" t="s"/>
      <c r="J27" s="224" t="s"/>
      <c r="K27" s="226" t="s"/>
      <c r="L27" s="226" t="s"/>
      <c r="M27" s="226" t="s"/>
      <c r="N27" s="226" t="s"/>
    </row>
    <row r="28" spans="1:14" ht="18" customHeight="1">
      <c r="A28" s="207" t="s"/>
      <c r="B28" s="215" t="s"/>
      <c r="C28" s="218" t="s">
        <v>289</v>
      </c>
      <c r="D28" s="210">
        <v>1</v>
      </c>
      <c r="E28" s="210">
        <f>=D28/(D29-1)*(E29-1)</f>
        <v>1.125</v>
      </c>
      <c r="F28" s="224" t="s"/>
      <c r="G28" s="224" t="s"/>
      <c r="H28" s="224" t="s"/>
      <c r="I28" s="224" t="s"/>
      <c r="J28" s="224" t="s"/>
      <c r="K28" s="226" t="s"/>
      <c r="L28" s="226" t="s"/>
      <c r="M28" s="226" t="s"/>
      <c r="N28" s="226" t="s"/>
    </row>
    <row r="29" spans="1:20" ht="18" customHeight="1">
      <c r="A29" s="207" t="s"/>
      <c r="B29" s="215" t="s"/>
      <c r="C29" s="218" t="s">
        <v>290</v>
      </c>
      <c r="D29" s="209">
        <v>9</v>
      </c>
      <c r="E29" s="209">
        <v>10</v>
      </c>
      <c r="F29" s="224" t="s"/>
      <c r="G29" s="224" t="s"/>
      <c r="H29" s="224" t="s"/>
      <c r="I29" s="224" t="s"/>
      <c r="J29" s="224" t="s"/>
      <c r="K29" s="226" t="s"/>
      <c r="L29" s="226" t="s"/>
      <c r="M29" s="226" t="s"/>
      <c r="N29" s="226" t="s"/>
      <c r="Q29" s="227" t="s"/>
      <c r="R29" s="227" t="s"/>
      <c r="S29" s="227" t="s"/>
      <c r="T29" s="228" t="s"/>
    </row>
    <row r="30" spans="1:46" ht="18" customHeight="1">
      <c r="A30" s="207" t="s"/>
      <c r="B30" s="217" t="s">
        <v>299</v>
      </c>
      <c r="C30" s="218" t="s">
        <v>288</v>
      </c>
      <c r="D30" s="229">
        <v>1</v>
      </c>
      <c r="E30" s="229">
        <f>=12/E32</f>
        <v>0.923076923076923</v>
      </c>
      <c r="F30" s="229">
        <f>=12/F32</f>
        <v>0.857142857142857</v>
      </c>
      <c r="G30" s="229">
        <f>=12/G32</f>
        <v>0.8</v>
      </c>
      <c r="H30" s="229">
        <f>=12/H32</f>
        <v>0.75</v>
      </c>
      <c r="I30" s="229">
        <f>=12/I32</f>
        <v>0.705882352941177</v>
      </c>
      <c r="J30" s="229">
        <f>=12/J32</f>
        <v>0.666666666666667</v>
      </c>
      <c r="K30" s="229">
        <f>=12/K32</f>
        <v>0.631578947368421</v>
      </c>
      <c r="L30" s="229">
        <f>=12/L32</f>
        <v>0.6</v>
      </c>
      <c r="M30" s="229">
        <f>=12/M32</f>
        <v>0.571428571428572</v>
      </c>
      <c r="N30" s="229">
        <f>=12/N32</f>
        <v>0.545454545454546</v>
      </c>
      <c r="O30" s="229">
        <f>=12/O32</f>
        <v>0.521739130434783</v>
      </c>
      <c r="P30" s="229">
        <f>=12/P32</f>
        <v>0.5</v>
      </c>
      <c r="Q30" s="230">
        <f>=12/Q32</f>
        <v>0.48</v>
      </c>
      <c r="R30" s="230">
        <f>=12/R32</f>
        <v>0.461538461538462</v>
      </c>
      <c r="S30" s="230">
        <f>=12/S32</f>
        <v>0.444444444444445</v>
      </c>
      <c r="T30" s="231" t="s"/>
      <c r="U30" s="232" t="s"/>
      <c r="V30" s="225" t="s"/>
      <c r="W30" s="225" t="s"/>
      <c r="X30" s="225" t="s"/>
      <c r="Y30" s="225" t="s"/>
      <c r="Z30" s="225" t="s"/>
      <c r="AA30" s="225" t="s"/>
      <c r="AB30" s="225" t="s"/>
      <c r="AC30" s="225" t="s"/>
      <c r="AD30" s="225" t="s"/>
      <c r="AE30" s="225" t="s"/>
      <c r="AF30" s="225" t="s"/>
      <c r="AG30" s="225" t="s"/>
      <c r="AH30" s="225" t="s"/>
      <c r="AI30" s="225" t="s"/>
      <c r="AJ30" s="225" t="s"/>
      <c r="AK30" s="225" t="s"/>
      <c r="AL30" s="225" t="s"/>
      <c r="AM30" s="225" t="s"/>
      <c r="AN30" s="225" t="s"/>
      <c r="AO30" s="225" t="s"/>
      <c r="AP30" s="225" t="s"/>
      <c r="AQ30" s="225" t="s"/>
      <c r="AR30" s="225" t="s"/>
      <c r="AS30" s="225" t="s"/>
      <c r="AT30" s="225" t="s"/>
    </row>
    <row r="31" spans="1:46" ht="18" customHeight="1">
      <c r="A31" s="207" t="s"/>
      <c r="B31" s="215" t="s"/>
      <c r="C31" s="218" t="s">
        <v>289</v>
      </c>
      <c r="D31" s="233">
        <v>0.83</v>
      </c>
      <c r="E31" s="233">
        <f>=D31/(D32-1)*(E32-1)</f>
        <v>0.905454545454546</v>
      </c>
      <c r="F31" s="233">
        <f>=E31/(E32-1)*(F32-1)</f>
        <v>0.980909090909091</v>
      </c>
      <c r="G31" s="233">
        <f>=F31/(F32-1)*(G32-1)</f>
        <v>1.05636363636364</v>
      </c>
      <c r="H31" s="233">
        <f>=G31/(G32-1)*(H32-1)</f>
        <v>1.13181818181818</v>
      </c>
      <c r="I31" s="233">
        <f>=H31/(H32-1)*(I32-1)</f>
        <v>1.20727272727273</v>
      </c>
      <c r="J31" s="233">
        <f>=I31/(I32-1)*(J32-1)</f>
        <v>1.28272727272727</v>
      </c>
      <c r="K31" s="233">
        <f>=J31/(J32-1)*(K32-1)</f>
        <v>1.35818181818182</v>
      </c>
      <c r="L31" s="233">
        <f>=K31/(K32-1)*(L32-1)</f>
        <v>1.43363636363636</v>
      </c>
      <c r="M31" s="233">
        <f>=L31/(L32-1)*(M32-1)</f>
        <v>1.50909090909091</v>
      </c>
      <c r="N31" s="233">
        <f>=M31/(M32-1)*(N32-1)</f>
        <v>1.58454545454545</v>
      </c>
      <c r="O31" s="233">
        <f>=N31/(N32-1)*(O32-1)</f>
        <v>1.66</v>
      </c>
      <c r="P31" s="234">
        <f>=O31/(O32-1)*(P32-1)</f>
        <v>1.73545454545455</v>
      </c>
      <c r="Q31" s="235">
        <f>=P31/(P32-1)*(Q32-1)</f>
        <v>1.81090909090909</v>
      </c>
      <c r="R31" s="235">
        <f>=Q31/(Q32-1)*(R32-1)</f>
        <v>1.88636363636364</v>
      </c>
      <c r="S31" s="236">
        <f>=R31/(R32-1)*(S32-1)</f>
        <v>1.96181818181818</v>
      </c>
      <c r="T31" s="231" t="s"/>
      <c r="U31" s="232" t="s"/>
      <c r="V31" s="225" t="s"/>
      <c r="W31" s="225" t="s"/>
      <c r="X31" s="225" t="s"/>
      <c r="Y31" s="225" t="s"/>
      <c r="Z31" s="225" t="s"/>
      <c r="AA31" s="225" t="s"/>
      <c r="AB31" s="225" t="s"/>
      <c r="AC31" s="225" t="s"/>
      <c r="AD31" s="225" t="s"/>
      <c r="AE31" s="225" t="s"/>
      <c r="AF31" s="225" t="s"/>
      <c r="AG31" s="225" t="s"/>
      <c r="AH31" s="225" t="s"/>
      <c r="AI31" s="225" t="s"/>
      <c r="AJ31" s="225" t="s"/>
      <c r="AK31" s="225" t="s"/>
      <c r="AL31" s="225" t="s"/>
      <c r="AM31" s="225" t="s"/>
      <c r="AN31" s="225" t="s"/>
      <c r="AO31" s="225" t="s"/>
      <c r="AP31" s="225" t="s"/>
      <c r="AQ31" s="225" t="s"/>
      <c r="AR31" s="225" t="s"/>
      <c r="AS31" s="225" t="s"/>
      <c r="AT31" s="225" t="s"/>
    </row>
    <row r="32" spans="1:46" ht="18" customHeight="1">
      <c r="A32" s="237" t="s"/>
      <c r="B32" s="215" t="s"/>
      <c r="C32" s="218" t="s">
        <v>290</v>
      </c>
      <c r="D32" s="218">
        <v>12</v>
      </c>
      <c r="E32" s="218">
        <v>13</v>
      </c>
      <c r="F32" s="218">
        <v>14</v>
      </c>
      <c r="G32" s="218">
        <v>15</v>
      </c>
      <c r="H32" s="218">
        <v>16</v>
      </c>
      <c r="I32" s="218">
        <v>17</v>
      </c>
      <c r="J32" s="218">
        <v>18</v>
      </c>
      <c r="K32" s="218">
        <v>19</v>
      </c>
      <c r="L32" s="218">
        <v>20</v>
      </c>
      <c r="M32" s="218">
        <v>21</v>
      </c>
      <c r="N32" s="218">
        <v>22</v>
      </c>
      <c r="O32" s="218">
        <v>23</v>
      </c>
      <c r="P32" s="238">
        <v>24</v>
      </c>
      <c r="Q32" s="239">
        <v>25</v>
      </c>
      <c r="R32" s="239">
        <v>26</v>
      </c>
      <c r="S32" s="239">
        <v>27</v>
      </c>
      <c r="T32" s="231" t="s"/>
      <c r="U32" s="232" t="s"/>
      <c r="V32" s="225" t="s"/>
      <c r="W32" s="225" t="s"/>
      <c r="X32" s="225" t="s"/>
      <c r="Y32" s="225" t="s"/>
      <c r="Z32" s="225" t="s"/>
      <c r="AA32" s="225" t="s"/>
      <c r="AB32" s="225" t="s"/>
      <c r="AC32" s="225" t="s"/>
      <c r="AD32" s="225" t="s"/>
      <c r="AE32" s="225" t="s"/>
      <c r="AF32" s="225" t="s"/>
      <c r="AG32" s="225" t="s"/>
      <c r="AH32" s="225" t="s"/>
      <c r="AI32" s="225" t="s"/>
      <c r="AJ32" s="225" t="s"/>
      <c r="AK32" s="225" t="s"/>
      <c r="AL32" s="225" t="s"/>
      <c r="AM32" s="225" t="s"/>
      <c r="AN32" s="225" t="s"/>
      <c r="AO32" s="225" t="s"/>
      <c r="AP32" s="225" t="s"/>
      <c r="AQ32" s="225" t="s"/>
      <c r="AR32" s="225" t="s"/>
      <c r="AS32" s="225" t="s"/>
      <c r="AT32" s="225" t="s"/>
    </row>
    <row r="33" spans="1:25" ht="18" customHeight="1">
      <c r="A33" s="240" t="s">
        <v>300</v>
      </c>
      <c r="B33" s="217" t="s">
        <v>301</v>
      </c>
      <c r="C33" s="218" t="s">
        <v>288</v>
      </c>
      <c r="D33" s="229">
        <v>1</v>
      </c>
      <c r="E33" s="229">
        <f>=4/E35</f>
        <v>0.8</v>
      </c>
      <c r="F33" s="229">
        <f>=4/F35</f>
        <v>0.666666666666667</v>
      </c>
      <c r="G33" s="229">
        <f>=4/G35</f>
        <v>0.571428571428572</v>
      </c>
      <c r="H33" s="229">
        <f>=4/H35</f>
        <v>0.5</v>
      </c>
      <c r="I33" s="229">
        <f>=4/I35</f>
        <v>0.444444444444445</v>
      </c>
      <c r="J33" s="229">
        <f>=4/J35</f>
        <v>0.4</v>
      </c>
      <c r="K33" s="241" t="s"/>
      <c r="L33" s="241" t="s"/>
      <c r="M33" s="241" t="s"/>
      <c r="N33" s="241" t="s"/>
      <c r="O33" s="242" t="s"/>
      <c r="P33" s="232" t="s"/>
      <c r="Q33" s="243" t="s"/>
      <c r="R33" s="243" t="s"/>
      <c r="S33" s="243" t="s"/>
      <c r="T33" s="231" t="s"/>
      <c r="U33" s="232" t="s"/>
      <c r="V33" s="222" t="s"/>
      <c r="W33" s="222" t="s"/>
      <c r="X33" s="222" t="s"/>
      <c r="Y33" s="222" t="s"/>
    </row>
    <row r="34" spans="1:25" ht="18" customHeight="1">
      <c r="A34" s="207" t="s"/>
      <c r="B34" s="215" t="s"/>
      <c r="C34" s="218" t="s">
        <v>289</v>
      </c>
      <c r="D34" s="233">
        <v>0.86</v>
      </c>
      <c r="E34" s="233">
        <f>=D34/(D35-1)*(E35-1)</f>
        <v>1.14666666666667</v>
      </c>
      <c r="F34" s="233">
        <f>=E34/(E35-1)*(F35-1)</f>
        <v>1.43333333333333</v>
      </c>
      <c r="G34" s="233">
        <f>=F34/(F35-1)*(G35-1)</f>
        <v>1.72</v>
      </c>
      <c r="H34" s="233">
        <f>=G34/(G35-1)*(H35-1)</f>
        <v>2.00666666666667</v>
      </c>
      <c r="I34" s="233">
        <f>=H34/(H35-1)*(I35-1)</f>
        <v>2.29333333333333</v>
      </c>
      <c r="J34" s="233">
        <f>=I34/(I35-1)*(J35-1)</f>
        <v>2.58</v>
      </c>
      <c r="K34" s="241" t="s"/>
      <c r="L34" s="241" t="s"/>
      <c r="M34" s="241" t="s"/>
      <c r="N34" s="241" t="s"/>
      <c r="O34" s="242" t="s"/>
      <c r="P34" s="232" t="s"/>
      <c r="Q34" s="243" t="s"/>
      <c r="R34" s="243" t="s"/>
      <c r="S34" s="243" t="s"/>
      <c r="T34" s="231" t="s"/>
      <c r="U34" s="232" t="s"/>
      <c r="V34" s="214" t="s"/>
      <c r="W34" s="222" t="s"/>
      <c r="X34" s="222" t="s"/>
      <c r="Y34" s="222" t="s"/>
    </row>
    <row r="35" spans="1:25" ht="18" customHeight="1">
      <c r="A35" s="207" t="s"/>
      <c r="B35" s="215" t="s"/>
      <c r="C35" s="218" t="s">
        <v>290</v>
      </c>
      <c r="D35" s="218">
        <v>4</v>
      </c>
      <c r="E35" s="218">
        <v>5</v>
      </c>
      <c r="F35" s="218">
        <v>6</v>
      </c>
      <c r="G35" s="218">
        <v>7</v>
      </c>
      <c r="H35" s="218">
        <v>8</v>
      </c>
      <c r="I35" s="218">
        <v>9</v>
      </c>
      <c r="J35" s="218">
        <v>10</v>
      </c>
      <c r="K35" s="241" t="s"/>
      <c r="L35" s="241" t="s"/>
      <c r="M35" s="241" t="s"/>
      <c r="N35" s="241" t="s"/>
      <c r="O35" s="241" t="s"/>
      <c r="P35" s="232" t="s"/>
      <c r="Q35" s="243" t="s"/>
      <c r="R35" s="243" t="s"/>
      <c r="S35" s="243" t="s"/>
      <c r="T35" s="231" t="s"/>
      <c r="U35" s="232" t="s"/>
      <c r="V35" s="214" t="s"/>
      <c r="W35" s="222" t="s"/>
      <c r="X35" s="222" t="s"/>
      <c r="Y35" s="222" t="s"/>
    </row>
    <row r="36" spans="1:25" ht="18" customHeight="1">
      <c r="A36" s="207" t="s"/>
      <c r="B36" s="217" t="s">
        <v>302</v>
      </c>
      <c r="C36" s="218" t="s">
        <v>288</v>
      </c>
      <c r="D36" s="229">
        <v>1</v>
      </c>
      <c r="E36" s="229">
        <f>=4/E38</f>
        <v>0.8</v>
      </c>
      <c r="F36" s="244" t="s"/>
      <c r="G36" s="244" t="s"/>
      <c r="H36" s="244" t="s"/>
      <c r="I36" s="244" t="s"/>
      <c r="J36" s="244" t="s"/>
      <c r="K36" s="241" t="s"/>
      <c r="L36" s="241" t="s"/>
      <c r="M36" s="241" t="s"/>
      <c r="N36" s="241" t="s"/>
      <c r="O36" s="241" t="s"/>
      <c r="P36" s="232" t="s"/>
      <c r="Q36" s="231" t="s"/>
      <c r="R36" s="231" t="s"/>
      <c r="S36" s="231" t="s"/>
      <c r="T36" s="231" t="s"/>
      <c r="U36" s="232" t="s"/>
      <c r="V36" s="214" t="s"/>
      <c r="W36" s="222" t="s"/>
      <c r="X36" s="222" t="s"/>
      <c r="Y36" s="222" t="s"/>
    </row>
    <row r="37" spans="1:25" ht="18" customHeight="1">
      <c r="A37" s="207" t="s"/>
      <c r="B37" s="215" t="s"/>
      <c r="C37" s="218" t="s">
        <v>289</v>
      </c>
      <c r="D37" s="233">
        <v>0.94</v>
      </c>
      <c r="E37" s="233">
        <f>=D37/(D38-1)*(E38-1)</f>
        <v>1.25333333333333</v>
      </c>
      <c r="F37" s="244" t="s"/>
      <c r="G37" s="244" t="s"/>
      <c r="H37" s="244" t="s"/>
      <c r="I37" s="244" t="s"/>
      <c r="J37" s="244" t="s"/>
      <c r="K37" s="241" t="s"/>
      <c r="L37" s="241" t="s"/>
      <c r="M37" s="241" t="s"/>
      <c r="N37" s="241" t="s"/>
      <c r="O37" s="241" t="s"/>
      <c r="P37" s="232" t="s"/>
      <c r="Q37" s="231" t="s"/>
      <c r="R37" s="231" t="s"/>
      <c r="S37" s="231" t="s"/>
      <c r="T37" s="231" t="s"/>
      <c r="U37" s="232" t="s"/>
      <c r="V37" s="214" t="s"/>
      <c r="W37" s="222" t="s"/>
      <c r="X37" s="222" t="s"/>
      <c r="Y37" s="222" t="s"/>
    </row>
    <row r="38" spans="1:25" ht="18" customHeight="1">
      <c r="A38" s="207" t="s"/>
      <c r="B38" s="215" t="s"/>
      <c r="C38" s="218" t="s">
        <v>290</v>
      </c>
      <c r="D38" s="218">
        <v>4</v>
      </c>
      <c r="E38" s="218">
        <v>5</v>
      </c>
      <c r="F38" s="244" t="s"/>
      <c r="G38" s="244" t="s"/>
      <c r="H38" s="244" t="s"/>
      <c r="I38" s="244" t="s"/>
      <c r="J38" s="244" t="s"/>
      <c r="K38" s="241" t="s"/>
      <c r="L38" s="241" t="s"/>
      <c r="M38" s="241" t="s"/>
      <c r="N38" s="241" t="s"/>
      <c r="O38" s="242" t="s"/>
      <c r="P38" s="232" t="s"/>
      <c r="Q38" s="232" t="s"/>
      <c r="R38" s="232" t="s"/>
      <c r="S38" s="232" t="s"/>
      <c r="T38" s="232" t="s"/>
      <c r="U38" s="232" t="s"/>
      <c r="V38" s="214" t="s"/>
      <c r="W38" s="222" t="s"/>
      <c r="X38" s="222" t="s"/>
      <c r="Y38" s="222" t="s"/>
    </row>
    <row r="39" spans="1:46" ht="18" customHeight="1">
      <c r="A39" s="207" t="s"/>
      <c r="B39" s="217" t="s">
        <v>303</v>
      </c>
      <c r="C39" s="218" t="s">
        <v>288</v>
      </c>
      <c r="D39" s="229">
        <v>1</v>
      </c>
      <c r="E39" s="229">
        <f>=4/E41</f>
        <v>0.8</v>
      </c>
      <c r="F39" s="229">
        <f>=4/F41</f>
        <v>0.666666666666667</v>
      </c>
      <c r="G39" s="229">
        <f>=4/G41</f>
        <v>0.571428571428572</v>
      </c>
      <c r="H39" s="229">
        <f>=4/H41</f>
        <v>0.5</v>
      </c>
      <c r="I39" s="244" t="s"/>
      <c r="J39" s="244" t="s"/>
      <c r="K39" s="241" t="s"/>
      <c r="L39" s="241" t="s"/>
      <c r="M39" s="241" t="s"/>
      <c r="N39" s="241" t="s"/>
      <c r="O39" s="242" t="s"/>
      <c r="P39" s="232" t="s"/>
      <c r="Q39" s="232" t="s"/>
      <c r="R39" s="232" t="s"/>
      <c r="S39" s="232" t="s"/>
      <c r="T39" s="232" t="s"/>
      <c r="U39" s="232" t="s"/>
      <c r="V39" s="214" t="s"/>
      <c r="W39" s="214" t="s"/>
      <c r="X39" s="214" t="s"/>
      <c r="Y39" s="214" t="s"/>
      <c r="Z39" s="225" t="s"/>
      <c r="AA39" s="225" t="s"/>
      <c r="AB39" s="225" t="s"/>
      <c r="AC39" s="225" t="s"/>
      <c r="AD39" s="225" t="s"/>
      <c r="AE39" s="225" t="s"/>
      <c r="AF39" s="225" t="s"/>
      <c r="AG39" s="225" t="s"/>
      <c r="AH39" s="225" t="s"/>
      <c r="AI39" s="225" t="s"/>
      <c r="AJ39" s="225" t="s"/>
      <c r="AK39" s="225" t="s"/>
      <c r="AL39" s="225" t="s"/>
      <c r="AM39" s="225" t="s"/>
      <c r="AN39" s="225" t="s"/>
      <c r="AO39" s="225" t="s"/>
      <c r="AP39" s="225" t="s"/>
      <c r="AQ39" s="225" t="s"/>
      <c r="AR39" s="225" t="s"/>
      <c r="AS39" s="225" t="s"/>
      <c r="AT39" s="225" t="s"/>
    </row>
    <row r="40" spans="1:46" ht="18" customHeight="1">
      <c r="A40" s="207" t="s"/>
      <c r="B40" s="215" t="s"/>
      <c r="C40" s="218" t="s">
        <v>289</v>
      </c>
      <c r="D40" s="233">
        <v>0.93</v>
      </c>
      <c r="E40" s="233">
        <f>=D40/(D41-1)*(E41-1)</f>
        <v>1.24</v>
      </c>
      <c r="F40" s="233">
        <f>=E40/(E41-1)*(F41-1)</f>
        <v>1.55</v>
      </c>
      <c r="G40" s="233">
        <f>=F40/(F41-1)*(G41-1)</f>
        <v>1.86</v>
      </c>
      <c r="H40" s="233">
        <f>=G40/(G41-1)*(H41-1)</f>
        <v>2.17</v>
      </c>
      <c r="I40" s="244" t="s"/>
      <c r="J40" s="244" t="s"/>
      <c r="K40" s="241" t="s"/>
      <c r="L40" s="241" t="s"/>
      <c r="M40" s="241" t="s"/>
      <c r="N40" s="241" t="s"/>
      <c r="O40" s="242" t="s"/>
      <c r="P40" s="232" t="s"/>
      <c r="Q40" s="232" t="s"/>
      <c r="R40" s="232" t="s"/>
      <c r="S40" s="232" t="s"/>
      <c r="T40" s="232" t="s"/>
      <c r="U40" s="232" t="s"/>
      <c r="V40" s="214" t="s"/>
      <c r="W40" s="214" t="s"/>
      <c r="X40" s="214" t="s"/>
      <c r="Y40" s="214" t="s"/>
      <c r="Z40" s="225" t="s"/>
      <c r="AA40" s="225" t="s"/>
      <c r="AB40" s="225" t="s"/>
      <c r="AC40" s="225" t="s"/>
      <c r="AD40" s="225" t="s"/>
      <c r="AE40" s="225" t="s"/>
      <c r="AF40" s="225" t="s"/>
      <c r="AG40" s="225" t="s"/>
      <c r="AH40" s="225" t="s"/>
      <c r="AI40" s="225" t="s"/>
      <c r="AJ40" s="225" t="s"/>
      <c r="AK40" s="225" t="s"/>
      <c r="AL40" s="225" t="s"/>
      <c r="AM40" s="225" t="s"/>
      <c r="AN40" s="225" t="s"/>
      <c r="AO40" s="225" t="s"/>
      <c r="AP40" s="225" t="s"/>
      <c r="AQ40" s="225" t="s"/>
      <c r="AR40" s="225" t="s"/>
      <c r="AS40" s="225" t="s"/>
      <c r="AT40" s="225" t="s"/>
    </row>
    <row r="41" spans="1:46" ht="18" customHeight="1">
      <c r="A41" s="207" t="s"/>
      <c r="B41" s="215" t="s"/>
      <c r="C41" s="218" t="s">
        <v>290</v>
      </c>
      <c r="D41" s="218">
        <v>4</v>
      </c>
      <c r="E41" s="218">
        <v>5</v>
      </c>
      <c r="F41" s="218">
        <v>6</v>
      </c>
      <c r="G41" s="218">
        <v>7</v>
      </c>
      <c r="H41" s="218">
        <v>8</v>
      </c>
      <c r="I41" s="244" t="s"/>
      <c r="J41" s="244" t="s"/>
      <c r="K41" s="241" t="s"/>
      <c r="L41" s="241" t="s"/>
      <c r="M41" s="241" t="s"/>
      <c r="N41" s="241" t="s"/>
      <c r="O41" s="242" t="s"/>
      <c r="P41" s="232" t="s"/>
      <c r="Q41" s="232" t="s"/>
      <c r="R41" s="232" t="s"/>
      <c r="S41" s="232" t="s"/>
      <c r="T41" s="232" t="s"/>
      <c r="U41" s="232" t="s"/>
      <c r="V41" s="214" t="s"/>
      <c r="W41" s="214" t="s"/>
      <c r="X41" s="214" t="s"/>
      <c r="Y41" s="214" t="s"/>
      <c r="Z41" s="225" t="s"/>
      <c r="AA41" s="225" t="s"/>
      <c r="AB41" s="225" t="s"/>
      <c r="AC41" s="225" t="s"/>
      <c r="AD41" s="225" t="s"/>
      <c r="AE41" s="225" t="s"/>
      <c r="AF41" s="225" t="s"/>
      <c r="AG41" s="225" t="s"/>
      <c r="AH41" s="225" t="s"/>
      <c r="AI41" s="225" t="s"/>
      <c r="AJ41" s="225" t="s"/>
      <c r="AK41" s="225" t="s"/>
      <c r="AL41" s="225" t="s"/>
      <c r="AM41" s="225" t="s"/>
      <c r="AN41" s="225" t="s"/>
      <c r="AO41" s="225" t="s"/>
      <c r="AP41" s="225" t="s"/>
      <c r="AQ41" s="225" t="s"/>
      <c r="AR41" s="225" t="s"/>
      <c r="AS41" s="225" t="s"/>
      <c r="AT41" s="225" t="s"/>
    </row>
    <row r="42" spans="1:46" ht="18" customHeight="1">
      <c r="A42" s="207" t="s"/>
      <c r="B42" s="217" t="s">
        <v>304</v>
      </c>
      <c r="C42" s="218" t="s">
        <v>288</v>
      </c>
      <c r="D42" s="229">
        <v>1</v>
      </c>
      <c r="E42" s="229">
        <f>=4/E44</f>
        <v>0.8</v>
      </c>
      <c r="F42" s="229">
        <f>=4/F44</f>
        <v>0.666666666666667</v>
      </c>
      <c r="G42" s="229">
        <f>=4/G44</f>
        <v>0.571428571428572</v>
      </c>
      <c r="H42" s="229">
        <f>=4/H44</f>
        <v>0.5</v>
      </c>
      <c r="I42" s="229">
        <f>=4/I44</f>
        <v>0.444444444444445</v>
      </c>
      <c r="J42" s="244" t="s"/>
      <c r="K42" s="241" t="s"/>
      <c r="L42" s="241" t="s"/>
      <c r="M42" s="241" t="s"/>
      <c r="N42" s="241" t="s"/>
      <c r="O42" s="242" t="s"/>
      <c r="P42" s="232" t="s"/>
      <c r="Q42" s="232" t="s"/>
      <c r="R42" s="232" t="s"/>
      <c r="S42" s="232" t="s"/>
      <c r="T42" s="232" t="s"/>
      <c r="U42" s="232" t="s"/>
      <c r="V42" s="214" t="s"/>
      <c r="W42" s="214" t="s"/>
      <c r="X42" s="214" t="s"/>
      <c r="Y42" s="214" t="s"/>
      <c r="Z42" s="225" t="s"/>
      <c r="AA42" s="225" t="s"/>
      <c r="AB42" s="225" t="s"/>
      <c r="AC42" s="225" t="s"/>
      <c r="AD42" s="225" t="s"/>
      <c r="AE42" s="225" t="s"/>
      <c r="AF42" s="225" t="s"/>
      <c r="AG42" s="225" t="s"/>
      <c r="AH42" s="225" t="s"/>
      <c r="AI42" s="225" t="s"/>
      <c r="AJ42" s="225" t="s"/>
      <c r="AK42" s="225" t="s"/>
      <c r="AL42" s="225" t="s"/>
      <c r="AM42" s="225" t="s"/>
      <c r="AN42" s="225" t="s"/>
      <c r="AO42" s="225" t="s"/>
      <c r="AP42" s="225" t="s"/>
      <c r="AQ42" s="225" t="s"/>
      <c r="AR42" s="225" t="s"/>
      <c r="AS42" s="225" t="s"/>
      <c r="AT42" s="225" t="s"/>
    </row>
    <row r="43" spans="1:46" ht="18" customHeight="1">
      <c r="A43" s="207" t="s"/>
      <c r="B43" s="215" t="s"/>
      <c r="C43" s="218" t="s">
        <v>289</v>
      </c>
      <c r="D43" s="233">
        <v>0.85</v>
      </c>
      <c r="E43" s="233">
        <f>=D43/(D44-1)*(E44-1)</f>
        <v>1.13333333333333</v>
      </c>
      <c r="F43" s="233">
        <f>=E43/(E44-1)*(F44-1)</f>
        <v>1.41666666666667</v>
      </c>
      <c r="G43" s="233">
        <f>=F43/(F44-1)*(G44-1)</f>
        <v>1.7</v>
      </c>
      <c r="H43" s="233">
        <f>=G43/(G44-1)*(H44-1)</f>
        <v>1.98333333333333</v>
      </c>
      <c r="I43" s="233">
        <f>=H43/(H44-1)*(I44-1)</f>
        <v>2.26666666666667</v>
      </c>
      <c r="J43" s="244" t="s"/>
      <c r="K43" s="241" t="s"/>
      <c r="L43" s="241" t="s"/>
      <c r="M43" s="241" t="s"/>
      <c r="N43" s="241" t="s"/>
      <c r="O43" s="242" t="s"/>
      <c r="P43" s="232" t="s"/>
      <c r="Q43" s="232" t="s"/>
      <c r="R43" s="232" t="s"/>
      <c r="S43" s="232" t="s"/>
      <c r="T43" s="232" t="s"/>
      <c r="U43" s="232" t="s"/>
      <c r="V43" s="214" t="s"/>
      <c r="W43" s="214" t="s"/>
      <c r="X43" s="214" t="s"/>
      <c r="Y43" s="214" t="s"/>
      <c r="Z43" s="225" t="s"/>
      <c r="AA43" s="225" t="s"/>
      <c r="AB43" s="225" t="s"/>
      <c r="AC43" s="225" t="s"/>
      <c r="AD43" s="225" t="s"/>
      <c r="AE43" s="225" t="s"/>
      <c r="AF43" s="225" t="s"/>
      <c r="AG43" s="225" t="s"/>
      <c r="AH43" s="225" t="s"/>
      <c r="AI43" s="225" t="s"/>
      <c r="AJ43" s="225" t="s"/>
      <c r="AK43" s="225" t="s"/>
      <c r="AL43" s="225" t="s"/>
      <c r="AM43" s="225" t="s"/>
      <c r="AN43" s="225" t="s"/>
      <c r="AO43" s="225" t="s"/>
      <c r="AP43" s="225" t="s"/>
      <c r="AQ43" s="225" t="s"/>
      <c r="AR43" s="225" t="s"/>
      <c r="AS43" s="225" t="s"/>
      <c r="AT43" s="225" t="s"/>
    </row>
    <row r="44" spans="1:46" ht="18" customHeight="1">
      <c r="A44" s="207" t="s"/>
      <c r="B44" s="215" t="s"/>
      <c r="C44" s="218" t="s">
        <v>290</v>
      </c>
      <c r="D44" s="218">
        <v>4</v>
      </c>
      <c r="E44" s="218">
        <v>5</v>
      </c>
      <c r="F44" s="218">
        <v>6</v>
      </c>
      <c r="G44" s="218">
        <v>7</v>
      </c>
      <c r="H44" s="218">
        <v>8</v>
      </c>
      <c r="I44" s="218">
        <v>9</v>
      </c>
      <c r="J44" s="244" t="s"/>
      <c r="K44" s="241" t="s"/>
      <c r="L44" s="241" t="s"/>
      <c r="M44" s="241" t="s"/>
      <c r="N44" s="241" t="s"/>
      <c r="O44" s="242" t="s"/>
      <c r="P44" s="232" t="s"/>
      <c r="Q44" s="232" t="s"/>
      <c r="R44" s="232" t="s"/>
      <c r="S44" s="232" t="s"/>
      <c r="T44" s="232" t="s"/>
      <c r="U44" s="232" t="s"/>
      <c r="V44" s="214" t="s"/>
      <c r="W44" s="214" t="s"/>
      <c r="X44" s="214" t="s"/>
      <c r="Y44" s="214" t="s"/>
      <c r="Z44" s="225" t="s"/>
      <c r="AA44" s="225" t="s"/>
      <c r="AB44" s="225" t="s"/>
      <c r="AC44" s="225" t="s"/>
      <c r="AD44" s="225" t="s"/>
      <c r="AE44" s="225" t="s"/>
      <c r="AF44" s="225" t="s"/>
      <c r="AG44" s="225" t="s"/>
      <c r="AH44" s="225" t="s"/>
      <c r="AI44" s="225" t="s"/>
      <c r="AJ44" s="225" t="s"/>
      <c r="AK44" s="225" t="s"/>
      <c r="AL44" s="225" t="s"/>
      <c r="AM44" s="225" t="s"/>
      <c r="AN44" s="225" t="s"/>
      <c r="AO44" s="225" t="s"/>
      <c r="AP44" s="225" t="s"/>
      <c r="AQ44" s="225" t="s"/>
      <c r="AR44" s="225" t="s"/>
      <c r="AS44" s="225" t="s"/>
      <c r="AT44" s="225" t="s"/>
    </row>
    <row r="45" spans="1:25">
      <c r="A45" s="207" t="s"/>
      <c r="B45" s="217" t="s">
        <v>305</v>
      </c>
      <c r="C45" s="218" t="s">
        <v>288</v>
      </c>
      <c r="D45" s="229">
        <v>1</v>
      </c>
      <c r="E45" s="229">
        <f>=2/E47</f>
        <v>0.666666666666667</v>
      </c>
      <c r="F45" s="229">
        <f>=2/F47</f>
        <v>0.5</v>
      </c>
      <c r="G45" s="229">
        <f>=2/G47</f>
        <v>0.4</v>
      </c>
      <c r="H45" s="232" t="s"/>
      <c r="I45" s="232" t="s"/>
      <c r="J45" s="232" t="s"/>
      <c r="K45" s="245" t="s"/>
      <c r="L45" s="245" t="s"/>
      <c r="M45" s="245" t="s"/>
      <c r="N45" s="245" t="s"/>
      <c r="O45" s="245" t="s"/>
      <c r="P45" s="245" t="s"/>
      <c r="Q45" s="245" t="s"/>
      <c r="R45" s="245" t="s"/>
      <c r="S45" s="245" t="s"/>
      <c r="T45" s="245" t="s"/>
      <c r="U45" s="245" t="s"/>
      <c r="V45" s="222" t="s"/>
      <c r="W45" s="222" t="s"/>
      <c r="X45" s="222" t="s"/>
      <c r="Y45" s="222" t="s"/>
    </row>
    <row r="46" spans="1:25">
      <c r="A46" s="207" t="s"/>
      <c r="B46" s="208" t="s"/>
      <c r="C46" s="218" t="s">
        <v>289</v>
      </c>
      <c r="D46" s="233">
        <v>1.06</v>
      </c>
      <c r="E46" s="233">
        <f>=D46/(D47-1)*(E47-1)</f>
        <v>2.12</v>
      </c>
      <c r="F46" s="233">
        <f>=E46/(E47-1)*(F47-1)</f>
        <v>3.18</v>
      </c>
      <c r="G46" s="233">
        <f>=F46/(F47-1)*(G47-1)</f>
        <v>4.24</v>
      </c>
      <c r="H46" s="232" t="s"/>
      <c r="I46" s="232" t="s"/>
      <c r="J46" s="232" t="s"/>
      <c r="K46" s="245" t="s"/>
      <c r="L46" s="245" t="s"/>
      <c r="M46" s="245" t="s"/>
      <c r="N46" s="245" t="s"/>
      <c r="O46" s="245" t="s"/>
      <c r="P46" s="245" t="s"/>
      <c r="Q46" s="245" t="s"/>
      <c r="R46" s="245" t="s"/>
      <c r="S46" s="245" t="s"/>
      <c r="T46" s="245" t="s"/>
      <c r="U46" s="245" t="s"/>
      <c r="V46" s="222" t="s"/>
      <c r="W46" s="222" t="s"/>
      <c r="X46" s="222" t="s"/>
      <c r="Y46" s="222" t="s"/>
    </row>
    <row r="47" spans="1:25">
      <c r="A47" s="207" t="s"/>
      <c r="B47" s="208" t="s"/>
      <c r="C47" s="218" t="s">
        <v>290</v>
      </c>
      <c r="D47" s="218">
        <v>2</v>
      </c>
      <c r="E47" s="218">
        <v>3</v>
      </c>
      <c r="F47" s="218">
        <v>4</v>
      </c>
      <c r="G47" s="218">
        <v>5</v>
      </c>
      <c r="H47" s="232" t="s"/>
      <c r="I47" s="232" t="s"/>
      <c r="J47" s="232" t="s"/>
      <c r="K47" s="245" t="s"/>
      <c r="L47" s="245" t="s"/>
      <c r="M47" s="245" t="s"/>
      <c r="N47" s="245" t="s"/>
      <c r="O47" s="245" t="s"/>
      <c r="P47" s="245" t="s"/>
      <c r="Q47" s="245" t="s"/>
      <c r="R47" s="245" t="s"/>
      <c r="S47" s="245" t="s"/>
      <c r="T47" s="245" t="s"/>
      <c r="U47" s="245" t="s"/>
      <c r="V47" s="222" t="s"/>
      <c r="W47" s="222" t="s"/>
      <c r="X47" s="222" t="s"/>
      <c r="Y47" s="222" t="s"/>
    </row>
    <row r="48" spans="1:25" ht="18" customHeight="1">
      <c r="A48" s="207" t="s"/>
      <c r="B48" s="217" t="s">
        <v>306</v>
      </c>
      <c r="C48" s="218" t="s">
        <v>288</v>
      </c>
      <c r="D48" s="229">
        <v>1</v>
      </c>
      <c r="E48" s="229">
        <f>=3/E50</f>
        <v>0.75</v>
      </c>
      <c r="F48" s="229">
        <f>=3/F50</f>
        <v>0.6</v>
      </c>
      <c r="G48" s="244" t="s"/>
      <c r="H48" s="232" t="s"/>
      <c r="I48" s="232" t="s"/>
      <c r="J48" s="232" t="s"/>
      <c r="K48" s="232" t="s"/>
      <c r="L48" s="232" t="s"/>
      <c r="M48" s="232" t="s"/>
      <c r="N48" s="232" t="s"/>
      <c r="O48" s="232" t="s"/>
      <c r="P48" s="232" t="s"/>
      <c r="Q48" s="232" t="s"/>
      <c r="R48" s="232" t="s"/>
      <c r="S48" s="232" t="s"/>
      <c r="T48" s="232" t="s"/>
      <c r="U48" s="232" t="s"/>
      <c r="V48" s="214" t="s"/>
      <c r="W48" s="214" t="s"/>
      <c r="X48" s="214" t="s"/>
      <c r="Y48" s="214" t="s"/>
    </row>
    <row r="49" spans="1:25" ht="18" customHeight="1">
      <c r="A49" s="207" t="s"/>
      <c r="B49" s="215" t="s"/>
      <c r="C49" s="218" t="s">
        <v>289</v>
      </c>
      <c r="D49" s="233">
        <v>1.52</v>
      </c>
      <c r="E49" s="233">
        <f>=D49/(D50-1)*(E50-1)</f>
        <v>2.28</v>
      </c>
      <c r="F49" s="233">
        <f>=E49/(E50-1)*(F50-1)</f>
        <v>3.04</v>
      </c>
      <c r="G49" s="244" t="s"/>
      <c r="H49" s="232" t="s"/>
      <c r="I49" s="232" t="s"/>
      <c r="J49" s="232" t="s"/>
      <c r="K49" s="232" t="s"/>
      <c r="L49" s="232" t="s"/>
      <c r="M49" s="232" t="s"/>
      <c r="N49" s="232" t="s"/>
      <c r="O49" s="232" t="s"/>
      <c r="P49" s="232" t="s"/>
      <c r="Q49" s="232" t="s"/>
      <c r="R49" s="232" t="s"/>
      <c r="S49" s="232" t="s"/>
      <c r="T49" s="232" t="s"/>
      <c r="U49" s="232" t="s"/>
      <c r="V49" s="214" t="s"/>
      <c r="W49" s="214" t="s"/>
      <c r="X49" s="214" t="s"/>
      <c r="Y49" s="214" t="s"/>
    </row>
    <row r="50" spans="1:25" ht="18" customHeight="1">
      <c r="A50" s="207" t="s"/>
      <c r="B50" s="215" t="s"/>
      <c r="C50" s="218" t="s">
        <v>290</v>
      </c>
      <c r="D50" s="218">
        <v>3</v>
      </c>
      <c r="E50" s="218">
        <v>4</v>
      </c>
      <c r="F50" s="218">
        <v>5</v>
      </c>
      <c r="G50" s="244" t="s"/>
      <c r="H50" s="232" t="s"/>
      <c r="I50" s="232" t="s"/>
      <c r="J50" s="232" t="s"/>
      <c r="K50" s="232" t="s"/>
      <c r="L50" s="232" t="s"/>
      <c r="M50" s="232" t="s"/>
      <c r="N50" s="232" t="s"/>
      <c r="O50" s="232" t="s"/>
      <c r="P50" s="232" t="s"/>
      <c r="Q50" s="232" t="s"/>
      <c r="R50" s="232" t="s"/>
      <c r="S50" s="232" t="s"/>
      <c r="T50" s="232" t="s"/>
      <c r="U50" s="232" t="s"/>
      <c r="V50" s="214" t="s"/>
      <c r="W50" s="214" t="s"/>
      <c r="X50" s="214" t="s"/>
      <c r="Y50" s="214" t="s"/>
    </row>
    <row r="51" spans="1:25" ht="18" customHeight="1">
      <c r="A51" s="207" t="s"/>
      <c r="B51" s="217" t="s">
        <v>307</v>
      </c>
      <c r="C51" s="218" t="s">
        <v>288</v>
      </c>
      <c r="D51" s="229">
        <v>1</v>
      </c>
      <c r="E51" s="229">
        <f>=3/E53</f>
        <v>0.75</v>
      </c>
      <c r="F51" s="229">
        <f>=3/F53</f>
        <v>0.6</v>
      </c>
      <c r="G51" s="229">
        <f>=3/G53</f>
        <v>0.5</v>
      </c>
      <c r="H51" s="232" t="s"/>
      <c r="I51" s="232" t="s"/>
      <c r="J51" s="232" t="s"/>
      <c r="K51" s="232" t="s"/>
      <c r="L51" s="232" t="s"/>
      <c r="M51" s="232" t="s"/>
      <c r="N51" s="232" t="s"/>
      <c r="O51" s="232" t="s"/>
      <c r="P51" s="232" t="s"/>
      <c r="Q51" s="232" t="s"/>
      <c r="R51" s="232" t="s"/>
      <c r="S51" s="232" t="s"/>
      <c r="T51" s="232" t="s"/>
      <c r="U51" s="232" t="s"/>
      <c r="V51" s="214" t="s"/>
      <c r="W51" s="214" t="s"/>
      <c r="X51" s="214" t="s"/>
      <c r="Y51" s="214" t="s"/>
    </row>
    <row r="52" spans="1:25" ht="18" customHeight="1">
      <c r="A52" s="207" t="s"/>
      <c r="B52" s="215" t="s"/>
      <c r="C52" s="218" t="s">
        <v>289</v>
      </c>
      <c r="D52" s="233">
        <v>1.41</v>
      </c>
      <c r="E52" s="233">
        <f>=D52/(D53-1)*(E53-1)</f>
        <v>2.115</v>
      </c>
      <c r="F52" s="233">
        <f>=E52/(E53-1)*(F53-1)</f>
        <v>2.82</v>
      </c>
      <c r="G52" s="233">
        <f>=F52/(F53-1)*(G53-1)</f>
        <v>3.525</v>
      </c>
      <c r="H52" s="232" t="s"/>
      <c r="I52" s="232" t="s"/>
      <c r="J52" s="232" t="s"/>
      <c r="K52" s="232" t="s"/>
      <c r="L52" s="232" t="s"/>
      <c r="M52" s="232" t="s"/>
      <c r="N52" s="232" t="s"/>
      <c r="O52" s="232" t="s"/>
      <c r="P52" s="232" t="s"/>
      <c r="Q52" s="232" t="s"/>
      <c r="R52" s="232" t="s"/>
      <c r="S52" s="232" t="s"/>
      <c r="T52" s="232" t="s"/>
      <c r="U52" s="232" t="s"/>
      <c r="V52" s="214" t="s"/>
      <c r="W52" s="214" t="s"/>
      <c r="X52" s="214" t="s"/>
      <c r="Y52" s="214" t="s"/>
    </row>
    <row r="53" spans="1:25" ht="18" customHeight="1">
      <c r="A53" s="237" t="s"/>
      <c r="B53" s="215" t="s"/>
      <c r="C53" s="218" t="s">
        <v>290</v>
      </c>
      <c r="D53" s="218">
        <v>3</v>
      </c>
      <c r="E53" s="218">
        <v>4</v>
      </c>
      <c r="F53" s="218">
        <v>5</v>
      </c>
      <c r="G53" s="218">
        <v>6</v>
      </c>
      <c r="H53" s="232" t="s"/>
      <c r="I53" s="232" t="s"/>
      <c r="J53" s="232" t="s"/>
      <c r="K53" s="232" t="s"/>
      <c r="L53" s="232" t="s"/>
      <c r="M53" s="232" t="s"/>
      <c r="N53" s="232" t="s"/>
      <c r="O53" s="232" t="s"/>
      <c r="P53" s="232" t="s"/>
      <c r="Q53" s="232" t="s"/>
      <c r="R53" s="232" t="s"/>
      <c r="S53" s="232" t="s"/>
      <c r="T53" s="232" t="s"/>
      <c r="U53" s="232" t="s"/>
      <c r="V53" s="214" t="s"/>
      <c r="W53" s="214" t="s"/>
      <c r="X53" s="214" t="s"/>
      <c r="Y53" s="214" t="s"/>
    </row>
    <row r="54" spans="1:46" ht="18" customHeight="1">
      <c r="A54" s="246" t="s">
        <v>308</v>
      </c>
      <c r="B54" s="247" t="s">
        <v>309</v>
      </c>
      <c r="C54" s="248" t="s">
        <v>288</v>
      </c>
      <c r="D54" s="249">
        <v>1</v>
      </c>
      <c r="E54" s="249">
        <v>0.9167</v>
      </c>
      <c r="F54" s="249">
        <v>0.8462</v>
      </c>
      <c r="G54" s="250">
        <v>0.7857</v>
      </c>
      <c r="H54" s="250">
        <v>0.7333</v>
      </c>
      <c r="I54" s="250">
        <v>0.6875</v>
      </c>
      <c r="J54" s="250">
        <v>0.6471</v>
      </c>
      <c r="K54" s="250">
        <v>0.6111</v>
      </c>
      <c r="L54" s="250">
        <v>0.5789</v>
      </c>
      <c r="M54" s="250">
        <v>0.55</v>
      </c>
      <c r="N54" s="250">
        <v>0.5238</v>
      </c>
      <c r="O54" s="250">
        <v>0.5</v>
      </c>
      <c r="P54" s="250">
        <v>0.4783</v>
      </c>
      <c r="Q54" s="250">
        <v>0.4583</v>
      </c>
      <c r="R54" s="250">
        <v>0.44</v>
      </c>
      <c r="S54" s="250">
        <v>0.4231</v>
      </c>
      <c r="T54" s="250">
        <v>0.4074</v>
      </c>
      <c r="U54" s="250">
        <v>0.3929</v>
      </c>
      <c r="V54" s="251">
        <v>0.3793</v>
      </c>
      <c r="W54" s="252" t="s"/>
      <c r="X54" s="252" t="s"/>
      <c r="Y54" s="252" t="s"/>
      <c r="Z54" s="253" t="s"/>
      <c r="AA54" s="253" t="s"/>
      <c r="AB54" s="253" t="s"/>
      <c r="AC54" s="253" t="s"/>
      <c r="AD54" s="253" t="s"/>
      <c r="AE54" s="253" t="s"/>
      <c r="AF54" s="253" t="s"/>
      <c r="AG54" s="253" t="s"/>
      <c r="AH54" s="253" t="s"/>
      <c r="AI54" s="253" t="s"/>
      <c r="AJ54" s="253" t="s"/>
      <c r="AK54" s="253" t="s"/>
      <c r="AL54" s="253" t="s"/>
      <c r="AM54" s="253" t="s"/>
      <c r="AN54" s="253" t="s"/>
      <c r="AO54" s="253" t="s"/>
      <c r="AP54" s="253" t="s"/>
      <c r="AQ54" s="253" t="s"/>
      <c r="AR54" s="253" t="s"/>
      <c r="AS54" s="253" t="s"/>
      <c r="AT54" s="253" t="s"/>
    </row>
    <row r="55" spans="1:46" ht="18" customHeight="1">
      <c r="A55" s="37" t="s"/>
      <c r="B55" s="37" t="s"/>
      <c r="C55" s="254" t="s">
        <v>289</v>
      </c>
      <c r="D55" s="255">
        <v>0.83</v>
      </c>
      <c r="E55" s="233">
        <f>=D55/(D56-1)*(E56-1)</f>
        <v>0.913</v>
      </c>
      <c r="F55" s="256">
        <f>=E55/(E56-1)*(F56-1)</f>
        <v>0.996</v>
      </c>
      <c r="G55" s="256">
        <f>=F55/(F56-1)*(G56-1)</f>
        <v>1.079</v>
      </c>
      <c r="H55" s="256">
        <f>=G55/(G56-1)*(H56-1)</f>
        <v>1.162</v>
      </c>
      <c r="I55" s="256">
        <f>=H55/(H56-1)*(I56-1)</f>
        <v>1.245</v>
      </c>
      <c r="J55" s="256">
        <f>=I55/(I56-1)*(J56-1)</f>
        <v>1.328</v>
      </c>
      <c r="K55" s="256">
        <f>=J55/(J56-1)*(K56-1)</f>
        <v>1.411</v>
      </c>
      <c r="L55" s="256">
        <f>=K55/(K56-1)*(L56-1)</f>
        <v>1.494</v>
      </c>
      <c r="M55" s="256">
        <f>=L55/(L56-1)*(M56-1)</f>
        <v>1.577</v>
      </c>
      <c r="N55" s="256">
        <f>=M55/(M56-1)*(N56-1)</f>
        <v>1.66</v>
      </c>
      <c r="O55" s="256">
        <f>=N55/(N56-1)*(O56-1)</f>
        <v>1.743</v>
      </c>
      <c r="P55" s="256">
        <f>=O55/(O56-1)*(P56-1)</f>
        <v>1.826</v>
      </c>
      <c r="Q55" s="256">
        <f>=P55/(P56-1)*(Q56-1)</f>
        <v>1.909</v>
      </c>
      <c r="R55" s="256">
        <f>=Q55/(Q56-1)*(R56-1)</f>
        <v>1.992</v>
      </c>
      <c r="S55" s="256">
        <f>=R55/(R56-1)*(S56-1)</f>
        <v>2.075</v>
      </c>
      <c r="T55" s="256">
        <f>=S55/(S56-1)*(T56-1)</f>
        <v>2.158</v>
      </c>
      <c r="U55" s="256">
        <f>=T55/(T56-1)*(U56-1)</f>
        <v>2.241</v>
      </c>
      <c r="V55" s="257">
        <f>=U55/(U56-1)*(V56-1)</f>
        <v>2.324</v>
      </c>
      <c r="W55" s="252" t="s"/>
      <c r="X55" s="252" t="s"/>
      <c r="Y55" s="252" t="s"/>
      <c r="Z55" s="253" t="s"/>
      <c r="AA55" s="253" t="s"/>
      <c r="AB55" s="253" t="s"/>
      <c r="AC55" s="253" t="s"/>
      <c r="AD55" s="253" t="s"/>
      <c r="AE55" s="253" t="s"/>
      <c r="AF55" s="253" t="s"/>
      <c r="AG55" s="253" t="s"/>
      <c r="AH55" s="253" t="s"/>
      <c r="AI55" s="253" t="s"/>
      <c r="AJ55" s="253" t="s"/>
      <c r="AK55" s="253" t="s"/>
      <c r="AL55" s="253" t="s"/>
      <c r="AM55" s="253" t="s"/>
      <c r="AN55" s="253" t="s"/>
      <c r="AO55" s="253" t="s"/>
      <c r="AP55" s="253" t="s"/>
      <c r="AQ55" s="253" t="s"/>
      <c r="AR55" s="253" t="s"/>
      <c r="AS55" s="253" t="s"/>
      <c r="AT55" s="253" t="s"/>
    </row>
    <row r="56" spans="1:46" ht="18" customHeight="1">
      <c r="A56" s="37" t="s"/>
      <c r="B56" s="37" t="s"/>
      <c r="C56" s="254" t="s">
        <v>290</v>
      </c>
      <c r="D56" s="254">
        <v>11</v>
      </c>
      <c r="E56" s="254">
        <v>12</v>
      </c>
      <c r="F56" s="254">
        <v>13</v>
      </c>
      <c r="G56" s="258">
        <v>14</v>
      </c>
      <c r="H56" s="258">
        <v>15</v>
      </c>
      <c r="I56" s="258">
        <v>16</v>
      </c>
      <c r="J56" s="258">
        <v>17</v>
      </c>
      <c r="K56" s="258">
        <v>18</v>
      </c>
      <c r="L56" s="258">
        <v>19</v>
      </c>
      <c r="M56" s="258">
        <v>20</v>
      </c>
      <c r="N56" s="258">
        <v>21</v>
      </c>
      <c r="O56" s="258">
        <v>22</v>
      </c>
      <c r="P56" s="258">
        <v>23</v>
      </c>
      <c r="Q56" s="258">
        <v>24</v>
      </c>
      <c r="R56" s="258">
        <v>25</v>
      </c>
      <c r="S56" s="258">
        <v>26</v>
      </c>
      <c r="T56" s="258">
        <v>27</v>
      </c>
      <c r="U56" s="258">
        <v>28</v>
      </c>
      <c r="V56" s="259">
        <v>29</v>
      </c>
      <c r="W56" s="252" t="s"/>
      <c r="X56" s="252" t="s"/>
      <c r="Y56" s="252" t="s"/>
      <c r="Z56" s="253" t="s"/>
      <c r="AA56" s="253" t="s"/>
      <c r="AB56" s="253" t="s"/>
      <c r="AC56" s="253" t="s"/>
      <c r="AD56" s="253" t="s"/>
      <c r="AE56" s="253" t="s"/>
      <c r="AF56" s="253" t="s"/>
      <c r="AG56" s="253" t="s"/>
      <c r="AH56" s="253" t="s"/>
      <c r="AI56" s="253" t="s"/>
      <c r="AJ56" s="253" t="s"/>
      <c r="AK56" s="253" t="s"/>
      <c r="AL56" s="253" t="s"/>
      <c r="AM56" s="253" t="s"/>
      <c r="AN56" s="253" t="s"/>
      <c r="AO56" s="253" t="s"/>
      <c r="AP56" s="253" t="s"/>
      <c r="AQ56" s="253" t="s"/>
      <c r="AR56" s="253" t="s"/>
      <c r="AS56" s="253" t="s"/>
      <c r="AT56" s="253" t="s"/>
    </row>
    <row r="57" spans="1:46" ht="18" customHeight="1">
      <c r="A57" s="37" t="s"/>
      <c r="B57" s="260" t="s">
        <v>310</v>
      </c>
      <c r="C57" s="254" t="s">
        <v>288</v>
      </c>
      <c r="D57" s="261">
        <v>1</v>
      </c>
      <c r="E57" s="261">
        <v>0.9167</v>
      </c>
      <c r="F57" s="261">
        <v>0.8462</v>
      </c>
      <c r="G57" s="262">
        <v>0.7857</v>
      </c>
      <c r="H57" s="262">
        <v>0.7333</v>
      </c>
      <c r="I57" s="262">
        <v>0.6875</v>
      </c>
      <c r="J57" s="262">
        <v>0.6471</v>
      </c>
      <c r="K57" s="262">
        <v>0.6111</v>
      </c>
      <c r="L57" s="262">
        <v>0.5789</v>
      </c>
      <c r="M57" s="262">
        <v>0.55</v>
      </c>
      <c r="N57" s="262">
        <v>0.5238</v>
      </c>
      <c r="O57" s="262">
        <v>0.5</v>
      </c>
      <c r="P57" s="262">
        <v>0.4783</v>
      </c>
      <c r="Q57" s="262">
        <v>0.4583</v>
      </c>
      <c r="R57" s="262">
        <v>0.44</v>
      </c>
      <c r="S57" s="262">
        <v>0.4231</v>
      </c>
      <c r="T57" s="262">
        <v>0.4074</v>
      </c>
      <c r="U57" s="262">
        <v>0.3929</v>
      </c>
      <c r="V57" s="263">
        <v>0.3793</v>
      </c>
      <c r="W57" s="252" t="s"/>
      <c r="X57" s="252" t="s"/>
      <c r="Y57" s="252" t="s"/>
      <c r="Z57" s="253" t="s"/>
      <c r="AA57" s="253" t="s"/>
      <c r="AB57" s="253" t="s"/>
      <c r="AC57" s="253" t="s"/>
      <c r="AD57" s="253" t="s"/>
      <c r="AE57" s="253" t="s"/>
      <c r="AF57" s="253" t="s"/>
      <c r="AG57" s="253" t="s"/>
      <c r="AH57" s="253" t="s"/>
      <c r="AI57" s="253" t="s"/>
      <c r="AJ57" s="253" t="s"/>
      <c r="AK57" s="253" t="s"/>
      <c r="AL57" s="253" t="s"/>
      <c r="AM57" s="253" t="s"/>
      <c r="AN57" s="253" t="s"/>
      <c r="AO57" s="253" t="s"/>
      <c r="AP57" s="253" t="s"/>
      <c r="AQ57" s="253" t="s"/>
      <c r="AR57" s="253" t="s"/>
      <c r="AS57" s="253" t="s"/>
      <c r="AT57" s="253" t="s"/>
    </row>
    <row r="58" spans="1:46" ht="18" customHeight="1">
      <c r="A58" s="37" t="s"/>
      <c r="B58" s="264" t="s"/>
      <c r="C58" s="254" t="s">
        <v>289</v>
      </c>
      <c r="D58" s="255">
        <v>1</v>
      </c>
      <c r="E58" s="255">
        <v>1.1</v>
      </c>
      <c r="F58" s="255">
        <v>1.2</v>
      </c>
      <c r="G58" s="265">
        <v>1.3</v>
      </c>
      <c r="H58" s="265">
        <v>1.4</v>
      </c>
      <c r="I58" s="265">
        <v>1.5</v>
      </c>
      <c r="J58" s="265">
        <v>1.6</v>
      </c>
      <c r="K58" s="265">
        <v>1.7</v>
      </c>
      <c r="L58" s="265">
        <v>1.8</v>
      </c>
      <c r="M58" s="265">
        <v>1.9</v>
      </c>
      <c r="N58" s="265">
        <v>2</v>
      </c>
      <c r="O58" s="265">
        <v>2.1</v>
      </c>
      <c r="P58" s="265">
        <v>2.2</v>
      </c>
      <c r="Q58" s="265">
        <v>2.3</v>
      </c>
      <c r="R58" s="265">
        <v>2.4</v>
      </c>
      <c r="S58" s="265">
        <v>2.5</v>
      </c>
      <c r="T58" s="265">
        <v>2.6</v>
      </c>
      <c r="U58" s="265">
        <v>2.7</v>
      </c>
      <c r="V58" s="266">
        <v>2.8</v>
      </c>
      <c r="W58" s="252" t="s"/>
      <c r="X58" s="252" t="s"/>
      <c r="Y58" s="252" t="s"/>
      <c r="Z58" s="253" t="s"/>
      <c r="AA58" s="253" t="s"/>
      <c r="AB58" s="253" t="s"/>
      <c r="AC58" s="253" t="s"/>
      <c r="AD58" s="253" t="s"/>
      <c r="AE58" s="253" t="s"/>
      <c r="AF58" s="253" t="s"/>
      <c r="AG58" s="253" t="s"/>
      <c r="AH58" s="253" t="s"/>
      <c r="AI58" s="253" t="s"/>
      <c r="AJ58" s="253" t="s"/>
      <c r="AK58" s="253" t="s"/>
      <c r="AL58" s="253" t="s"/>
      <c r="AM58" s="253" t="s"/>
      <c r="AN58" s="253" t="s"/>
      <c r="AO58" s="253" t="s"/>
      <c r="AP58" s="253" t="s"/>
      <c r="AQ58" s="253" t="s"/>
      <c r="AR58" s="253" t="s"/>
      <c r="AS58" s="253" t="s"/>
      <c r="AT58" s="253" t="s"/>
    </row>
    <row r="59" spans="1:46" ht="18" customHeight="1">
      <c r="A59" s="37" t="s"/>
      <c r="B59" s="264" t="s"/>
      <c r="C59" s="254" t="s">
        <v>290</v>
      </c>
      <c r="D59" s="254">
        <v>11</v>
      </c>
      <c r="E59" s="254">
        <v>12</v>
      </c>
      <c r="F59" s="254">
        <v>13</v>
      </c>
      <c r="G59" s="258">
        <v>14</v>
      </c>
      <c r="H59" s="258">
        <v>15</v>
      </c>
      <c r="I59" s="258">
        <v>16</v>
      </c>
      <c r="J59" s="258">
        <v>17</v>
      </c>
      <c r="K59" s="258">
        <v>18</v>
      </c>
      <c r="L59" s="258">
        <v>19</v>
      </c>
      <c r="M59" s="258">
        <v>20</v>
      </c>
      <c r="N59" s="258">
        <v>21</v>
      </c>
      <c r="O59" s="258">
        <v>22</v>
      </c>
      <c r="P59" s="258">
        <v>23</v>
      </c>
      <c r="Q59" s="258">
        <v>24</v>
      </c>
      <c r="R59" s="258">
        <v>25</v>
      </c>
      <c r="S59" s="258">
        <v>26</v>
      </c>
      <c r="T59" s="258">
        <v>27</v>
      </c>
      <c r="U59" s="258">
        <v>28</v>
      </c>
      <c r="V59" s="259">
        <v>29</v>
      </c>
      <c r="W59" s="252" t="s"/>
      <c r="X59" s="252" t="s"/>
      <c r="Y59" s="252" t="s"/>
      <c r="Z59" s="253" t="s"/>
      <c r="AA59" s="253" t="s"/>
      <c r="AB59" s="253" t="s"/>
      <c r="AC59" s="253" t="s"/>
      <c r="AD59" s="253" t="s"/>
      <c r="AE59" s="253" t="s"/>
      <c r="AF59" s="253" t="s"/>
      <c r="AG59" s="253" t="s"/>
      <c r="AH59" s="253" t="s"/>
      <c r="AI59" s="253" t="s"/>
      <c r="AJ59" s="253" t="s"/>
      <c r="AK59" s="253" t="s"/>
      <c r="AL59" s="253" t="s"/>
      <c r="AM59" s="253" t="s"/>
      <c r="AN59" s="253" t="s"/>
      <c r="AO59" s="253" t="s"/>
      <c r="AP59" s="253" t="s"/>
      <c r="AQ59" s="253" t="s"/>
      <c r="AR59" s="253" t="s"/>
      <c r="AS59" s="253" t="s"/>
      <c r="AT59" s="253" t="s"/>
    </row>
    <row r="60" spans="1:46" ht="18" customHeight="1">
      <c r="A60" s="37" t="s"/>
      <c r="B60" s="260" t="s">
        <v>311</v>
      </c>
      <c r="C60" s="254" t="s">
        <v>288</v>
      </c>
      <c r="D60" s="261">
        <v>1</v>
      </c>
      <c r="E60" s="261">
        <v>0.9375</v>
      </c>
      <c r="F60" s="261">
        <v>0.8824</v>
      </c>
      <c r="G60" s="262">
        <v>0.8333</v>
      </c>
      <c r="H60" s="262">
        <v>0.7895</v>
      </c>
      <c r="I60" s="262">
        <v>0.75</v>
      </c>
      <c r="J60" s="262">
        <v>0.7143</v>
      </c>
      <c r="K60" s="262">
        <v>0.6818</v>
      </c>
      <c r="L60" s="262">
        <v>0.6522</v>
      </c>
      <c r="M60" s="262">
        <v>0.625</v>
      </c>
      <c r="N60" s="262">
        <v>0.6</v>
      </c>
      <c r="O60" s="262">
        <v>0.5769</v>
      </c>
      <c r="P60" s="262">
        <v>0.5556</v>
      </c>
      <c r="Q60" s="262">
        <v>0.5357</v>
      </c>
      <c r="R60" s="262">
        <v>0.5172</v>
      </c>
      <c r="S60" s="262">
        <v>0.5</v>
      </c>
      <c r="T60" s="262">
        <v>0.4839</v>
      </c>
      <c r="U60" s="267" t="s"/>
      <c r="V60" s="252" t="s"/>
      <c r="W60" s="252" t="s"/>
      <c r="X60" s="252" t="s"/>
      <c r="Y60" s="252" t="s"/>
      <c r="Z60" s="253" t="s"/>
      <c r="AA60" s="253" t="s"/>
      <c r="AB60" s="253" t="s"/>
      <c r="AC60" s="253" t="s"/>
      <c r="AD60" s="253" t="s"/>
      <c r="AE60" s="253" t="s"/>
      <c r="AF60" s="253" t="s"/>
      <c r="AG60" s="253" t="s"/>
      <c r="AH60" s="253" t="s"/>
      <c r="AI60" s="253" t="s"/>
      <c r="AJ60" s="253" t="s"/>
      <c r="AK60" s="253" t="s"/>
      <c r="AL60" s="253" t="s"/>
      <c r="AM60" s="253" t="s"/>
      <c r="AN60" s="253" t="s"/>
      <c r="AO60" s="253" t="s"/>
      <c r="AP60" s="253" t="s"/>
      <c r="AQ60" s="253" t="s"/>
      <c r="AR60" s="253" t="s"/>
      <c r="AS60" s="253" t="s"/>
      <c r="AT60" s="253" t="s"/>
    </row>
    <row r="61" spans="1:46" ht="18" customHeight="1">
      <c r="A61" s="37" t="s"/>
      <c r="B61" s="264" t="s"/>
      <c r="C61" s="254" t="s">
        <v>289</v>
      </c>
      <c r="D61" s="255">
        <v>1.04</v>
      </c>
      <c r="E61" s="255">
        <v>1.11</v>
      </c>
      <c r="F61" s="255">
        <v>1.19</v>
      </c>
      <c r="G61" s="265">
        <v>1.26</v>
      </c>
      <c r="H61" s="265">
        <v>1.34</v>
      </c>
      <c r="I61" s="265">
        <v>1.41</v>
      </c>
      <c r="J61" s="265">
        <v>1.49</v>
      </c>
      <c r="K61" s="265">
        <v>1.56</v>
      </c>
      <c r="L61" s="265">
        <v>1.63</v>
      </c>
      <c r="M61" s="265">
        <v>1.71</v>
      </c>
      <c r="N61" s="265">
        <v>1.78</v>
      </c>
      <c r="O61" s="265">
        <v>1.86</v>
      </c>
      <c r="P61" s="265">
        <v>1.93</v>
      </c>
      <c r="Q61" s="265">
        <v>2.01</v>
      </c>
      <c r="R61" s="265">
        <v>2.08</v>
      </c>
      <c r="S61" s="265">
        <v>2.15</v>
      </c>
      <c r="T61" s="265">
        <v>2.23</v>
      </c>
      <c r="U61" s="267" t="s"/>
      <c r="V61" s="252" t="s"/>
      <c r="W61" s="252" t="s"/>
      <c r="X61" s="252" t="s"/>
      <c r="Y61" s="252" t="s"/>
      <c r="Z61" s="253" t="s"/>
      <c r="AA61" s="253" t="s"/>
      <c r="AB61" s="253" t="s"/>
      <c r="AC61" s="253" t="s"/>
      <c r="AD61" s="253" t="s"/>
      <c r="AE61" s="253" t="s"/>
      <c r="AF61" s="253" t="s"/>
      <c r="AG61" s="253" t="s"/>
      <c r="AH61" s="253" t="s"/>
      <c r="AI61" s="253" t="s"/>
      <c r="AJ61" s="253" t="s"/>
      <c r="AK61" s="253" t="s"/>
      <c r="AL61" s="253" t="s"/>
      <c r="AM61" s="253" t="s"/>
      <c r="AN61" s="253" t="s"/>
      <c r="AO61" s="253" t="s"/>
      <c r="AP61" s="253" t="s"/>
      <c r="AQ61" s="253" t="s"/>
      <c r="AR61" s="253" t="s"/>
      <c r="AS61" s="253" t="s"/>
      <c r="AT61" s="253" t="s"/>
    </row>
    <row r="62" spans="1:46" ht="18" customHeight="1">
      <c r="A62" s="37" t="s"/>
      <c r="B62" s="264" t="s"/>
      <c r="C62" s="254" t="s">
        <v>290</v>
      </c>
      <c r="D62" s="254">
        <v>15</v>
      </c>
      <c r="E62" s="254">
        <v>16</v>
      </c>
      <c r="F62" s="254">
        <v>17</v>
      </c>
      <c r="G62" s="258">
        <v>18</v>
      </c>
      <c r="H62" s="258">
        <v>19</v>
      </c>
      <c r="I62" s="258">
        <v>20</v>
      </c>
      <c r="J62" s="258">
        <v>21</v>
      </c>
      <c r="K62" s="258">
        <v>22</v>
      </c>
      <c r="L62" s="258">
        <v>23</v>
      </c>
      <c r="M62" s="258">
        <v>24</v>
      </c>
      <c r="N62" s="258">
        <v>25</v>
      </c>
      <c r="O62" s="258">
        <v>26</v>
      </c>
      <c r="P62" s="258">
        <v>27</v>
      </c>
      <c r="Q62" s="258">
        <v>28</v>
      </c>
      <c r="R62" s="258">
        <v>29</v>
      </c>
      <c r="S62" s="258">
        <v>30</v>
      </c>
      <c r="T62" s="258">
        <v>31</v>
      </c>
      <c r="U62" s="267" t="s"/>
      <c r="V62" s="252" t="s"/>
      <c r="W62" s="252" t="s"/>
      <c r="X62" s="252" t="s"/>
      <c r="Y62" s="252" t="s"/>
      <c r="Z62" s="253" t="s"/>
      <c r="AA62" s="253" t="s"/>
      <c r="AB62" s="253" t="s"/>
      <c r="AC62" s="253" t="s"/>
      <c r="AD62" s="253" t="s"/>
      <c r="AE62" s="253" t="s"/>
      <c r="AF62" s="253" t="s"/>
      <c r="AG62" s="253" t="s"/>
      <c r="AH62" s="253" t="s"/>
      <c r="AI62" s="253" t="s"/>
      <c r="AJ62" s="253" t="s"/>
      <c r="AK62" s="253" t="s"/>
      <c r="AL62" s="253" t="s"/>
      <c r="AM62" s="253" t="s"/>
      <c r="AN62" s="253" t="s"/>
      <c r="AO62" s="253" t="s"/>
      <c r="AP62" s="253" t="s"/>
      <c r="AQ62" s="253" t="s"/>
      <c r="AR62" s="253" t="s"/>
      <c r="AS62" s="253" t="s"/>
      <c r="AT62" s="253" t="s"/>
    </row>
    <row r="63" spans="1:46" ht="18" customHeight="1">
      <c r="A63" s="37" t="s"/>
      <c r="B63" s="260" t="s">
        <v>312</v>
      </c>
      <c r="C63" s="254" t="s">
        <v>288</v>
      </c>
      <c r="D63" s="268">
        <v>1</v>
      </c>
      <c r="E63" s="268">
        <v>0.9231</v>
      </c>
      <c r="F63" s="268">
        <v>0.8571</v>
      </c>
      <c r="G63" s="263">
        <v>0.8</v>
      </c>
      <c r="H63" s="263">
        <v>0.75</v>
      </c>
      <c r="I63" s="263">
        <v>0.7059</v>
      </c>
      <c r="J63" s="263">
        <v>0.6667</v>
      </c>
      <c r="K63" s="263">
        <v>0.6316</v>
      </c>
      <c r="L63" s="263">
        <v>0.6</v>
      </c>
      <c r="M63" s="263">
        <v>0.5714</v>
      </c>
      <c r="N63" s="263">
        <v>0.5455</v>
      </c>
      <c r="O63" s="263">
        <v>0.5217</v>
      </c>
      <c r="P63" s="263">
        <v>0.5</v>
      </c>
      <c r="Q63" s="263">
        <v>0.48</v>
      </c>
      <c r="R63" s="263">
        <v>0.4615</v>
      </c>
      <c r="S63" s="263">
        <v>0.4444</v>
      </c>
      <c r="T63" s="263">
        <v>0.4286</v>
      </c>
      <c r="U63" s="251">
        <v>0.4138</v>
      </c>
      <c r="V63" s="251">
        <v>0.4</v>
      </c>
      <c r="W63" s="251">
        <v>0.3871</v>
      </c>
      <c r="X63" s="251">
        <v>0.375</v>
      </c>
      <c r="Y63" s="252" t="s"/>
      <c r="Z63" s="253" t="s"/>
      <c r="AA63" s="253" t="s"/>
      <c r="AB63" s="253" t="s"/>
      <c r="AC63" s="253" t="s"/>
      <c r="AD63" s="253" t="s"/>
      <c r="AE63" s="253" t="s"/>
      <c r="AF63" s="253" t="s"/>
      <c r="AG63" s="253" t="s"/>
      <c r="AH63" s="253" t="s"/>
      <c r="AI63" s="253" t="s"/>
      <c r="AJ63" s="253" t="s"/>
      <c r="AK63" s="253" t="s"/>
      <c r="AL63" s="253" t="s"/>
      <c r="AM63" s="253" t="s"/>
      <c r="AN63" s="253" t="s"/>
      <c r="AO63" s="253" t="s"/>
      <c r="AP63" s="253" t="s"/>
      <c r="AQ63" s="253" t="s"/>
      <c r="AR63" s="253" t="s"/>
      <c r="AS63" s="253" t="s"/>
      <c r="AT63" s="253" t="s"/>
    </row>
    <row r="64" spans="1:46" ht="18" customHeight="1">
      <c r="A64" s="37" t="s"/>
      <c r="B64" s="264" t="s"/>
      <c r="C64" s="254" t="s">
        <v>289</v>
      </c>
      <c r="D64" s="269">
        <v>1.08</v>
      </c>
      <c r="E64" s="269">
        <v>1.33</v>
      </c>
      <c r="F64" s="269">
        <v>1.39</v>
      </c>
      <c r="G64" s="270">
        <v>1.44</v>
      </c>
      <c r="H64" s="266">
        <v>1.5</v>
      </c>
      <c r="I64" s="266">
        <v>1.74</v>
      </c>
      <c r="J64" s="266">
        <v>1.8</v>
      </c>
      <c r="K64" s="266">
        <v>1.86</v>
      </c>
      <c r="L64" s="266">
        <v>1.91</v>
      </c>
      <c r="M64" s="266">
        <v>2.13</v>
      </c>
      <c r="N64" s="266">
        <v>2.18</v>
      </c>
      <c r="O64" s="266">
        <v>2.23</v>
      </c>
      <c r="P64" s="266">
        <v>2.29</v>
      </c>
      <c r="Q64" s="266">
        <v>2.48</v>
      </c>
      <c r="R64" s="266">
        <v>2.55</v>
      </c>
      <c r="S64" s="266">
        <v>2.6</v>
      </c>
      <c r="T64" s="266">
        <v>2.66</v>
      </c>
      <c r="U64" s="266">
        <v>2.83</v>
      </c>
      <c r="V64" s="266">
        <v>2.9</v>
      </c>
      <c r="W64" s="266">
        <v>2.95</v>
      </c>
      <c r="X64" s="266">
        <v>3</v>
      </c>
      <c r="Y64" s="252" t="s"/>
      <c r="Z64" s="253" t="s"/>
      <c r="AA64" s="253" t="s"/>
      <c r="AB64" s="253" t="s"/>
      <c r="AC64" s="253" t="s"/>
      <c r="AD64" s="253" t="s"/>
      <c r="AE64" s="253" t="s"/>
      <c r="AF64" s="253" t="s"/>
      <c r="AG64" s="253" t="s"/>
      <c r="AH64" s="253" t="s"/>
      <c r="AI64" s="253" t="s"/>
      <c r="AJ64" s="253" t="s"/>
      <c r="AK64" s="253" t="s"/>
      <c r="AL64" s="253" t="s"/>
      <c r="AM64" s="253" t="s"/>
      <c r="AN64" s="253" t="s"/>
      <c r="AO64" s="253" t="s"/>
      <c r="AP64" s="253" t="s"/>
      <c r="AQ64" s="253" t="s"/>
      <c r="AR64" s="253" t="s"/>
      <c r="AS64" s="253" t="s"/>
      <c r="AT64" s="253" t="s"/>
    </row>
    <row r="65" spans="1:46" ht="18" customHeight="1">
      <c r="A65" s="37" t="s"/>
      <c r="B65" s="264" t="s"/>
      <c r="C65" s="254" t="s">
        <v>290</v>
      </c>
      <c r="D65" s="271">
        <v>12</v>
      </c>
      <c r="E65" s="271">
        <v>13</v>
      </c>
      <c r="F65" s="271">
        <v>14</v>
      </c>
      <c r="G65" s="259">
        <v>15</v>
      </c>
      <c r="H65" s="259">
        <v>16</v>
      </c>
      <c r="I65" s="259">
        <v>17</v>
      </c>
      <c r="J65" s="259">
        <v>18</v>
      </c>
      <c r="K65" s="259">
        <v>19</v>
      </c>
      <c r="L65" s="259">
        <v>20</v>
      </c>
      <c r="M65" s="259">
        <v>21</v>
      </c>
      <c r="N65" s="259">
        <v>22</v>
      </c>
      <c r="O65" s="259">
        <v>23</v>
      </c>
      <c r="P65" s="259">
        <v>24</v>
      </c>
      <c r="Q65" s="259">
        <v>25</v>
      </c>
      <c r="R65" s="259">
        <v>26</v>
      </c>
      <c r="S65" s="259">
        <v>27</v>
      </c>
      <c r="T65" s="259">
        <v>28</v>
      </c>
      <c r="U65" s="259">
        <v>29</v>
      </c>
      <c r="V65" s="259">
        <v>30</v>
      </c>
      <c r="W65" s="259">
        <v>31</v>
      </c>
      <c r="X65" s="259">
        <v>32</v>
      </c>
      <c r="Y65" s="252" t="s"/>
      <c r="Z65" s="253" t="s"/>
      <c r="AA65" s="253" t="s"/>
      <c r="AB65" s="253" t="s"/>
      <c r="AC65" s="253" t="s"/>
      <c r="AD65" s="253" t="s"/>
      <c r="AE65" s="253" t="s"/>
      <c r="AF65" s="253" t="s"/>
      <c r="AG65" s="253" t="s"/>
      <c r="AH65" s="253" t="s"/>
      <c r="AI65" s="253" t="s"/>
      <c r="AJ65" s="253" t="s"/>
      <c r="AK65" s="253" t="s"/>
      <c r="AL65" s="253" t="s"/>
      <c r="AM65" s="253" t="s"/>
      <c r="AN65" s="253" t="s"/>
      <c r="AO65" s="253" t="s"/>
      <c r="AP65" s="253" t="s"/>
      <c r="AQ65" s="253" t="s"/>
      <c r="AR65" s="253" t="s"/>
      <c r="AS65" s="253" t="s"/>
      <c r="AT65" s="253" t="s"/>
    </row>
    <row r="66" spans="1:46" ht="18" customHeight="1">
      <c r="A66" s="37" t="s"/>
      <c r="B66" s="260" t="s">
        <v>313</v>
      </c>
      <c r="C66" s="254" t="s">
        <v>288</v>
      </c>
      <c r="D66" s="268">
        <v>1</v>
      </c>
      <c r="E66" s="268">
        <v>0.9231</v>
      </c>
      <c r="F66" s="268">
        <v>0.8571</v>
      </c>
      <c r="G66" s="263">
        <v>0.8</v>
      </c>
      <c r="H66" s="263">
        <v>0.75</v>
      </c>
      <c r="I66" s="263">
        <v>0.7059</v>
      </c>
      <c r="J66" s="263">
        <v>0.6667</v>
      </c>
      <c r="K66" s="263">
        <v>0.6316</v>
      </c>
      <c r="L66" s="263">
        <v>0.6</v>
      </c>
      <c r="M66" s="263">
        <v>0.5714</v>
      </c>
      <c r="N66" s="263">
        <v>0.5455</v>
      </c>
      <c r="O66" s="263">
        <v>0.5217</v>
      </c>
      <c r="P66" s="263">
        <v>0.5</v>
      </c>
      <c r="Q66" s="263">
        <v>0.48</v>
      </c>
      <c r="R66" s="263">
        <v>0.4615</v>
      </c>
      <c r="S66" s="263">
        <v>0.4444</v>
      </c>
      <c r="T66" s="263">
        <v>0.4286</v>
      </c>
      <c r="U66" s="263">
        <v>0.4138</v>
      </c>
      <c r="V66" s="263">
        <v>0.4</v>
      </c>
      <c r="W66" s="272">
        <v>0.3871</v>
      </c>
      <c r="X66" s="273">
        <v>0.375</v>
      </c>
      <c r="Y66" s="252" t="s"/>
      <c r="Z66" s="253" t="s"/>
      <c r="AA66" s="253" t="s"/>
      <c r="AB66" s="253" t="s"/>
      <c r="AC66" s="253" t="s"/>
      <c r="AD66" s="253" t="s"/>
      <c r="AE66" s="253" t="s"/>
      <c r="AF66" s="253" t="s"/>
      <c r="AG66" s="253" t="s"/>
      <c r="AH66" s="253" t="s"/>
      <c r="AI66" s="253" t="s"/>
      <c r="AJ66" s="253" t="s"/>
      <c r="AK66" s="253" t="s"/>
      <c r="AL66" s="253" t="s"/>
      <c r="AM66" s="253" t="s"/>
      <c r="AN66" s="253" t="s"/>
      <c r="AO66" s="253" t="s"/>
      <c r="AP66" s="253" t="s"/>
      <c r="AQ66" s="253" t="s"/>
      <c r="AR66" s="253" t="s"/>
      <c r="AS66" s="253" t="s"/>
      <c r="AT66" s="253" t="s"/>
    </row>
    <row r="67" spans="1:46" ht="18" customHeight="1">
      <c r="A67" s="37" t="s"/>
      <c r="B67" s="264" t="s"/>
      <c r="C67" s="254" t="s">
        <v>289</v>
      </c>
      <c r="D67" s="271">
        <v>0.87</v>
      </c>
      <c r="E67" s="271">
        <v>1.05</v>
      </c>
      <c r="F67" s="271">
        <v>1.12</v>
      </c>
      <c r="G67" s="274">
        <v>1.16</v>
      </c>
      <c r="H67" s="259">
        <v>1.22</v>
      </c>
      <c r="I67" s="259">
        <v>1.4</v>
      </c>
      <c r="J67" s="259">
        <v>1.46</v>
      </c>
      <c r="K67" s="259">
        <v>1.52</v>
      </c>
      <c r="L67" s="259">
        <v>1.57</v>
      </c>
      <c r="M67" s="259">
        <v>1.75</v>
      </c>
      <c r="N67" s="259">
        <v>1.81</v>
      </c>
      <c r="O67" s="259">
        <v>1.86</v>
      </c>
      <c r="P67" s="259">
        <v>1.92</v>
      </c>
      <c r="Q67" s="259">
        <v>2.1</v>
      </c>
      <c r="R67" s="259">
        <v>2.16</v>
      </c>
      <c r="S67" s="259">
        <v>2.21</v>
      </c>
      <c r="T67" s="259">
        <v>2.27</v>
      </c>
      <c r="U67" s="259">
        <v>2.45</v>
      </c>
      <c r="V67" s="259">
        <v>2.51</v>
      </c>
      <c r="W67" s="275">
        <v>2.56</v>
      </c>
      <c r="X67" s="276">
        <v>2.62</v>
      </c>
      <c r="Y67" s="252" t="s"/>
      <c r="Z67" s="253" t="s"/>
      <c r="AA67" s="253" t="s"/>
      <c r="AB67" s="253" t="s"/>
      <c r="AC67" s="253" t="s"/>
      <c r="AD67" s="253" t="s"/>
      <c r="AE67" s="253" t="s"/>
      <c r="AF67" s="253" t="s"/>
      <c r="AG67" s="253" t="s"/>
      <c r="AH67" s="253" t="s"/>
      <c r="AI67" s="253" t="s"/>
      <c r="AJ67" s="253" t="s"/>
      <c r="AK67" s="253" t="s"/>
      <c r="AL67" s="253" t="s"/>
      <c r="AM67" s="253" t="s"/>
      <c r="AN67" s="253" t="s"/>
      <c r="AO67" s="253" t="s"/>
      <c r="AP67" s="253" t="s"/>
      <c r="AQ67" s="253" t="s"/>
      <c r="AR67" s="253" t="s"/>
      <c r="AS67" s="253" t="s"/>
      <c r="AT67" s="253" t="s"/>
    </row>
    <row r="68" spans="1:46" ht="18" customHeight="1">
      <c r="A68" s="37" t="s"/>
      <c r="B68" s="264" t="s"/>
      <c r="C68" s="254" t="s">
        <v>290</v>
      </c>
      <c r="D68" s="271">
        <v>12</v>
      </c>
      <c r="E68" s="271">
        <v>13</v>
      </c>
      <c r="F68" s="271">
        <v>14</v>
      </c>
      <c r="G68" s="259">
        <v>15</v>
      </c>
      <c r="H68" s="259">
        <v>16</v>
      </c>
      <c r="I68" s="259">
        <v>17</v>
      </c>
      <c r="J68" s="259">
        <v>18</v>
      </c>
      <c r="K68" s="259">
        <v>19</v>
      </c>
      <c r="L68" s="259">
        <v>20</v>
      </c>
      <c r="M68" s="259">
        <v>21</v>
      </c>
      <c r="N68" s="259">
        <v>22</v>
      </c>
      <c r="O68" s="259">
        <v>23</v>
      </c>
      <c r="P68" s="259">
        <v>24</v>
      </c>
      <c r="Q68" s="259">
        <v>25</v>
      </c>
      <c r="R68" s="259">
        <v>26</v>
      </c>
      <c r="S68" s="259">
        <v>27</v>
      </c>
      <c r="T68" s="259">
        <v>28</v>
      </c>
      <c r="U68" s="259">
        <v>29</v>
      </c>
      <c r="V68" s="259">
        <v>30</v>
      </c>
      <c r="W68" s="277">
        <v>31</v>
      </c>
      <c r="X68" s="276">
        <v>32</v>
      </c>
      <c r="Y68" s="252" t="s"/>
      <c r="Z68" s="253" t="s"/>
      <c r="AA68" s="253" t="s"/>
      <c r="AB68" s="253" t="s"/>
      <c r="AC68" s="253" t="s"/>
      <c r="AD68" s="253" t="s"/>
      <c r="AE68" s="253" t="s"/>
      <c r="AF68" s="253" t="s"/>
      <c r="AG68" s="253" t="s"/>
      <c r="AH68" s="253" t="s"/>
      <c r="AI68" s="253" t="s"/>
      <c r="AJ68" s="253" t="s"/>
      <c r="AK68" s="253" t="s"/>
      <c r="AL68" s="253" t="s"/>
      <c r="AM68" s="253" t="s"/>
      <c r="AN68" s="253" t="s"/>
      <c r="AO68" s="253" t="s"/>
      <c r="AP68" s="253" t="s"/>
      <c r="AQ68" s="253" t="s"/>
      <c r="AR68" s="253" t="s"/>
      <c r="AS68" s="253" t="s"/>
      <c r="AT68" s="253" t="s"/>
    </row>
    <row r="69" spans="1:46" ht="18" customHeight="1">
      <c r="A69" s="37" t="s"/>
      <c r="B69" s="260" t="s">
        <v>314</v>
      </c>
      <c r="C69" s="254" t="s">
        <v>288</v>
      </c>
      <c r="D69" s="268">
        <v>1</v>
      </c>
      <c r="E69" s="268">
        <v>0.9091</v>
      </c>
      <c r="F69" s="268">
        <v>0.8333</v>
      </c>
      <c r="G69" s="263">
        <v>0.7692</v>
      </c>
      <c r="H69" s="263">
        <v>0.7143</v>
      </c>
      <c r="I69" s="263">
        <v>0.6667</v>
      </c>
      <c r="J69" s="263">
        <v>0.625</v>
      </c>
      <c r="K69" s="263">
        <v>0.5882</v>
      </c>
      <c r="L69" s="263">
        <v>0.5556</v>
      </c>
      <c r="M69" s="263">
        <v>0.5263</v>
      </c>
      <c r="N69" s="263">
        <v>0.5</v>
      </c>
      <c r="O69" s="263">
        <v>0.4762</v>
      </c>
      <c r="P69" s="263">
        <v>0.4545</v>
      </c>
      <c r="Q69" s="263">
        <v>0.4348</v>
      </c>
      <c r="R69" s="263">
        <v>0.4167</v>
      </c>
      <c r="S69" s="263">
        <v>0.4</v>
      </c>
      <c r="T69" s="263">
        <v>0.3846</v>
      </c>
      <c r="U69" s="263">
        <v>0.3704</v>
      </c>
      <c r="V69" s="263">
        <v>0.3571</v>
      </c>
      <c r="W69" s="263">
        <v>0.3448</v>
      </c>
      <c r="X69" s="263">
        <v>0.3333</v>
      </c>
      <c r="Y69" s="252" t="s"/>
      <c r="Z69" s="253" t="s"/>
      <c r="AA69" s="253" t="s"/>
      <c r="AB69" s="253" t="s"/>
      <c r="AC69" s="253" t="s"/>
      <c r="AD69" s="253" t="s"/>
      <c r="AE69" s="253" t="s"/>
      <c r="AF69" s="253" t="s"/>
      <c r="AG69" s="253" t="s"/>
      <c r="AH69" s="253" t="s"/>
      <c r="AI69" s="253" t="s"/>
      <c r="AJ69" s="253" t="s"/>
      <c r="AK69" s="253" t="s"/>
      <c r="AL69" s="253" t="s"/>
      <c r="AM69" s="253" t="s"/>
      <c r="AN69" s="253" t="s"/>
      <c r="AO69" s="253" t="s"/>
      <c r="AP69" s="253" t="s"/>
      <c r="AQ69" s="253" t="s"/>
      <c r="AR69" s="253" t="s"/>
      <c r="AS69" s="253" t="s"/>
      <c r="AT69" s="253" t="s"/>
    </row>
    <row r="70" spans="1:46" ht="18" customHeight="1">
      <c r="A70" s="37" t="s"/>
      <c r="B70" s="264" t="s"/>
      <c r="C70" s="254" t="s">
        <v>289</v>
      </c>
      <c r="D70" s="269">
        <v>1.14</v>
      </c>
      <c r="E70" s="269">
        <v>1.22</v>
      </c>
      <c r="F70" s="269">
        <v>1.28</v>
      </c>
      <c r="G70" s="266">
        <v>1.53</v>
      </c>
      <c r="H70" s="266">
        <v>1.59</v>
      </c>
      <c r="I70" s="266">
        <v>1.66</v>
      </c>
      <c r="J70" s="266">
        <v>1.92</v>
      </c>
      <c r="K70" s="266">
        <v>1.98</v>
      </c>
      <c r="L70" s="266">
        <v>2.04</v>
      </c>
      <c r="M70" s="266">
        <v>2.3</v>
      </c>
      <c r="N70" s="266">
        <v>2.37</v>
      </c>
      <c r="O70" s="266">
        <v>2.43</v>
      </c>
      <c r="P70" s="266">
        <v>2.68</v>
      </c>
      <c r="Q70" s="266">
        <v>2.74</v>
      </c>
      <c r="R70" s="266">
        <v>2.81</v>
      </c>
      <c r="S70" s="266">
        <v>3.06</v>
      </c>
      <c r="T70" s="266">
        <v>3.13</v>
      </c>
      <c r="U70" s="266">
        <v>3.19</v>
      </c>
      <c r="V70" s="266">
        <v>3.45</v>
      </c>
      <c r="W70" s="266">
        <v>3.51</v>
      </c>
      <c r="X70" s="266">
        <v>3.58</v>
      </c>
      <c r="Y70" s="252" t="s"/>
      <c r="Z70" s="253" t="s"/>
      <c r="AA70" s="253" t="s"/>
      <c r="AB70" s="253" t="s"/>
      <c r="AC70" s="253" t="s"/>
      <c r="AD70" s="253" t="s"/>
      <c r="AE70" s="253" t="s"/>
      <c r="AF70" s="253" t="s"/>
      <c r="AG70" s="253" t="s"/>
      <c r="AH70" s="253" t="s"/>
      <c r="AI70" s="253" t="s"/>
      <c r="AJ70" s="253" t="s"/>
      <c r="AK70" s="253" t="s"/>
      <c r="AL70" s="253" t="s"/>
      <c r="AM70" s="253" t="s"/>
      <c r="AN70" s="253" t="s"/>
      <c r="AO70" s="253" t="s"/>
      <c r="AP70" s="253" t="s"/>
      <c r="AQ70" s="253" t="s"/>
      <c r="AR70" s="253" t="s"/>
      <c r="AS70" s="253" t="s"/>
      <c r="AT70" s="253" t="s"/>
    </row>
    <row r="71" spans="1:46" ht="18" customHeight="1">
      <c r="A71" s="37" t="s"/>
      <c r="B71" s="264" t="s"/>
      <c r="C71" s="254" t="s">
        <v>290</v>
      </c>
      <c r="D71" s="271">
        <v>10</v>
      </c>
      <c r="E71" s="271">
        <v>11</v>
      </c>
      <c r="F71" s="271">
        <v>12</v>
      </c>
      <c r="G71" s="259">
        <v>13</v>
      </c>
      <c r="H71" s="259">
        <v>14</v>
      </c>
      <c r="I71" s="259">
        <v>15</v>
      </c>
      <c r="J71" s="259">
        <v>16</v>
      </c>
      <c r="K71" s="259">
        <v>17</v>
      </c>
      <c r="L71" s="259">
        <v>18</v>
      </c>
      <c r="M71" s="259">
        <v>19</v>
      </c>
      <c r="N71" s="259">
        <v>20</v>
      </c>
      <c r="O71" s="259">
        <v>21</v>
      </c>
      <c r="P71" s="259">
        <v>22</v>
      </c>
      <c r="Q71" s="259">
        <v>23</v>
      </c>
      <c r="R71" s="259">
        <v>24</v>
      </c>
      <c r="S71" s="259">
        <v>25</v>
      </c>
      <c r="T71" s="259">
        <v>26</v>
      </c>
      <c r="U71" s="259">
        <v>27</v>
      </c>
      <c r="V71" s="259">
        <v>28</v>
      </c>
      <c r="W71" s="259">
        <v>29</v>
      </c>
      <c r="X71" s="259">
        <v>30</v>
      </c>
      <c r="Y71" s="252" t="s"/>
      <c r="Z71" s="253" t="s"/>
      <c r="AA71" s="253" t="s"/>
      <c r="AB71" s="253" t="s"/>
      <c r="AC71" s="253" t="s"/>
      <c r="AD71" s="253" t="s"/>
      <c r="AE71" s="253" t="s"/>
      <c r="AF71" s="253" t="s"/>
      <c r="AG71" s="253" t="s"/>
      <c r="AH71" s="253" t="s"/>
      <c r="AI71" s="253" t="s"/>
      <c r="AJ71" s="253" t="s"/>
      <c r="AK71" s="253" t="s"/>
      <c r="AL71" s="253" t="s"/>
      <c r="AM71" s="253" t="s"/>
      <c r="AN71" s="278" t="s"/>
      <c r="AO71" s="278" t="s"/>
      <c r="AP71" s="278" t="s"/>
      <c r="AQ71" s="278" t="s"/>
      <c r="AR71" s="253" t="s"/>
      <c r="AS71" s="253" t="s"/>
      <c r="AT71" s="253" t="s"/>
    </row>
    <row r="72" spans="1:46" ht="18" customHeight="1">
      <c r="A72" s="279" t="s">
        <v>315</v>
      </c>
      <c r="B72" s="247" t="s">
        <v>316</v>
      </c>
      <c r="C72" s="248" t="s">
        <v>288</v>
      </c>
      <c r="D72" s="280">
        <v>1</v>
      </c>
      <c r="E72" s="280">
        <v>0.9286</v>
      </c>
      <c r="F72" s="280">
        <v>0.8667</v>
      </c>
      <c r="G72" s="251">
        <v>0.8125</v>
      </c>
      <c r="H72" s="251">
        <v>0.7647</v>
      </c>
      <c r="I72" s="251">
        <v>0.7222</v>
      </c>
      <c r="J72" s="251">
        <v>0.6842</v>
      </c>
      <c r="K72" s="251">
        <v>0.65</v>
      </c>
      <c r="L72" s="251">
        <v>0.619</v>
      </c>
      <c r="M72" s="251">
        <v>0.5909</v>
      </c>
      <c r="N72" s="251">
        <v>0.5652</v>
      </c>
      <c r="O72" s="251">
        <v>0.5417</v>
      </c>
      <c r="P72" s="251">
        <v>0.52</v>
      </c>
      <c r="Q72" s="251">
        <v>0.5</v>
      </c>
      <c r="R72" s="251">
        <v>0.4815</v>
      </c>
      <c r="S72" s="251">
        <v>0.4643</v>
      </c>
      <c r="T72" s="251">
        <v>0.4483</v>
      </c>
      <c r="U72" s="251">
        <v>0.4333</v>
      </c>
      <c r="V72" s="251">
        <v>0.4194</v>
      </c>
      <c r="W72" s="251">
        <v>0.4063</v>
      </c>
      <c r="X72" s="251">
        <v>0.3939</v>
      </c>
      <c r="Y72" s="251">
        <v>0.3824</v>
      </c>
      <c r="Z72" s="281">
        <v>0.3714</v>
      </c>
      <c r="AA72" s="281">
        <f>=13/AA74</f>
        <v>0.361111111111111</v>
      </c>
      <c r="AB72" s="281">
        <f>=13/AB74</f>
        <v>0.351351351351351</v>
      </c>
      <c r="AC72" s="281">
        <f>=13/AC74</f>
        <v>0.342105263157895</v>
      </c>
      <c r="AD72" s="281">
        <f>=13/AD74</f>
        <v>0.333333333333333</v>
      </c>
      <c r="AE72" s="281">
        <f>=13/AE74</f>
        <v>0.325</v>
      </c>
      <c r="AF72" s="281">
        <f>=13/AF74</f>
        <v>0.317073170731707</v>
      </c>
      <c r="AG72" s="281">
        <f>=13/AG74</f>
        <v>0.30952380952381</v>
      </c>
      <c r="AH72" s="281">
        <f>=13/AH74</f>
        <v>0.302325581395349</v>
      </c>
      <c r="AI72" s="281">
        <f>=13/AI74</f>
        <v>0.295454545454546</v>
      </c>
      <c r="AJ72" s="281">
        <f>=13/AJ74</f>
        <v>0.288888888888889</v>
      </c>
      <c r="AK72" s="281">
        <f>=13/AK74</f>
        <v>0.282608695652174</v>
      </c>
      <c r="AL72" s="281">
        <f>=13/AL74</f>
        <v>0.276595744680851</v>
      </c>
      <c r="AM72" s="281">
        <f>=13/AM74</f>
        <v>0.270833333333333</v>
      </c>
      <c r="AN72" s="278" t="s"/>
      <c r="AO72" s="278" t="s"/>
      <c r="AP72" s="278" t="s"/>
      <c r="AQ72" s="278" t="s"/>
      <c r="AR72" s="282" t="s"/>
      <c r="AS72" s="282" t="s"/>
      <c r="AT72" s="282" t="s"/>
    </row>
    <row r="73" spans="1:46" ht="18" customHeight="1">
      <c r="A73" s="207" t="s"/>
      <c r="B73" s="37" t="s"/>
      <c r="C73" s="254" t="s">
        <v>317</v>
      </c>
      <c r="D73" s="269">
        <v>1.33</v>
      </c>
      <c r="E73" s="269">
        <v>1.41</v>
      </c>
      <c r="F73" s="283">
        <v>1.48</v>
      </c>
      <c r="G73" s="266">
        <v>1.54</v>
      </c>
      <c r="H73" s="266">
        <v>1.61</v>
      </c>
      <c r="I73" s="266">
        <v>1.68</v>
      </c>
      <c r="J73" s="266">
        <v>1.74</v>
      </c>
      <c r="K73" s="266">
        <v>1.81</v>
      </c>
      <c r="L73" s="266">
        <v>1.88</v>
      </c>
      <c r="M73" s="266">
        <v>1.94</v>
      </c>
      <c r="N73" s="266">
        <v>2.01</v>
      </c>
      <c r="O73" s="266">
        <v>2.08</v>
      </c>
      <c r="P73" s="266">
        <v>2.14</v>
      </c>
      <c r="Q73" s="266">
        <v>2.21</v>
      </c>
      <c r="R73" s="266">
        <v>2.28</v>
      </c>
      <c r="S73" s="266">
        <v>2.34</v>
      </c>
      <c r="T73" s="266">
        <v>2.41</v>
      </c>
      <c r="U73" s="266">
        <v>2.48</v>
      </c>
      <c r="V73" s="266">
        <v>2.54</v>
      </c>
      <c r="W73" s="266">
        <v>2.61</v>
      </c>
      <c r="X73" s="266">
        <v>2.68</v>
      </c>
      <c r="Y73" s="266">
        <v>2.74</v>
      </c>
      <c r="Z73" s="284">
        <v>2.81</v>
      </c>
      <c r="AA73" s="285">
        <v>2.88</v>
      </c>
      <c r="AB73" s="285">
        <v>2.94</v>
      </c>
      <c r="AC73" s="285">
        <v>3.01</v>
      </c>
      <c r="AD73" s="285">
        <v>3.08</v>
      </c>
      <c r="AE73" s="285">
        <v>3.14</v>
      </c>
      <c r="AF73" s="285">
        <v>3.21</v>
      </c>
      <c r="AG73" s="285">
        <v>3.28</v>
      </c>
      <c r="AH73" s="285">
        <v>3.34</v>
      </c>
      <c r="AI73" s="285">
        <v>3.41</v>
      </c>
      <c r="AJ73" s="285">
        <v>3.48</v>
      </c>
      <c r="AK73" s="285">
        <v>3.54</v>
      </c>
      <c r="AL73" s="285">
        <v>3.61</v>
      </c>
      <c r="AM73" s="285">
        <v>3.68</v>
      </c>
      <c r="AN73" s="278" t="s"/>
      <c r="AO73" s="278" t="s"/>
      <c r="AP73" s="278" t="s"/>
      <c r="AQ73" s="278" t="s"/>
      <c r="AR73" s="286" t="s"/>
      <c r="AS73" s="286" t="s"/>
      <c r="AT73" s="286" t="s"/>
    </row>
    <row r="74" spans="1:46" ht="18" customHeight="1">
      <c r="A74" s="207" t="s"/>
      <c r="B74" s="37" t="s"/>
      <c r="C74" s="254" t="s">
        <v>290</v>
      </c>
      <c r="D74" s="271">
        <v>13</v>
      </c>
      <c r="E74" s="271">
        <v>14</v>
      </c>
      <c r="F74" s="271">
        <v>15</v>
      </c>
      <c r="G74" s="259">
        <v>16</v>
      </c>
      <c r="H74" s="259">
        <v>17</v>
      </c>
      <c r="I74" s="259">
        <v>18</v>
      </c>
      <c r="J74" s="259">
        <v>19</v>
      </c>
      <c r="K74" s="259">
        <v>20</v>
      </c>
      <c r="L74" s="259">
        <v>21</v>
      </c>
      <c r="M74" s="259">
        <v>22</v>
      </c>
      <c r="N74" s="259">
        <v>23</v>
      </c>
      <c r="O74" s="259">
        <v>24</v>
      </c>
      <c r="P74" s="259">
        <v>25</v>
      </c>
      <c r="Q74" s="259">
        <v>26</v>
      </c>
      <c r="R74" s="259">
        <v>27</v>
      </c>
      <c r="S74" s="259">
        <v>28</v>
      </c>
      <c r="T74" s="259">
        <v>29</v>
      </c>
      <c r="U74" s="259">
        <v>30</v>
      </c>
      <c r="V74" s="259">
        <v>31</v>
      </c>
      <c r="W74" s="259">
        <v>32</v>
      </c>
      <c r="X74" s="259">
        <v>33</v>
      </c>
      <c r="Y74" s="259">
        <v>34</v>
      </c>
      <c r="Z74" s="287">
        <v>35</v>
      </c>
      <c r="AA74" s="259">
        <v>36</v>
      </c>
      <c r="AB74" s="287">
        <v>37</v>
      </c>
      <c r="AC74" s="259">
        <v>38</v>
      </c>
      <c r="AD74" s="287">
        <v>39</v>
      </c>
      <c r="AE74" s="259">
        <v>40</v>
      </c>
      <c r="AF74" s="287">
        <v>41</v>
      </c>
      <c r="AG74" s="259">
        <v>42</v>
      </c>
      <c r="AH74" s="287">
        <v>43</v>
      </c>
      <c r="AI74" s="259">
        <v>44</v>
      </c>
      <c r="AJ74" s="287">
        <v>45</v>
      </c>
      <c r="AK74" s="259">
        <v>46</v>
      </c>
      <c r="AL74" s="287">
        <v>47</v>
      </c>
      <c r="AM74" s="259">
        <v>48</v>
      </c>
      <c r="AN74" s="278" t="s"/>
      <c r="AO74" s="278" t="s"/>
      <c r="AP74" s="278" t="s"/>
      <c r="AQ74" s="278" t="s"/>
      <c r="AR74" s="278" t="s"/>
      <c r="AS74" s="278" t="s"/>
      <c r="AT74" s="253" t="s"/>
    </row>
    <row r="75" spans="1:46" ht="18" customHeight="1">
      <c r="A75" s="207" t="s"/>
      <c r="B75" s="260" t="s">
        <v>318</v>
      </c>
      <c r="C75" s="254" t="s">
        <v>288</v>
      </c>
      <c r="D75" s="268">
        <v>1</v>
      </c>
      <c r="E75" s="268">
        <v>0.9286</v>
      </c>
      <c r="F75" s="268">
        <v>0.8667</v>
      </c>
      <c r="G75" s="263">
        <v>0.8125</v>
      </c>
      <c r="H75" s="263">
        <v>0.7647</v>
      </c>
      <c r="I75" s="263">
        <v>0.7222</v>
      </c>
      <c r="J75" s="263">
        <v>0.6842</v>
      </c>
      <c r="K75" s="263">
        <v>0.65</v>
      </c>
      <c r="L75" s="263">
        <v>0.619</v>
      </c>
      <c r="M75" s="263">
        <v>0.5909</v>
      </c>
      <c r="N75" s="263">
        <v>0.5652</v>
      </c>
      <c r="O75" s="263">
        <v>0.5417</v>
      </c>
      <c r="P75" s="263">
        <v>0.52</v>
      </c>
      <c r="Q75" s="263">
        <v>0.5</v>
      </c>
      <c r="R75" s="263">
        <v>0.4815</v>
      </c>
      <c r="S75" s="263">
        <v>0.4643</v>
      </c>
      <c r="T75" s="263">
        <v>0.4483</v>
      </c>
      <c r="U75" s="263">
        <v>0.4333</v>
      </c>
      <c r="V75" s="263">
        <v>0.4194</v>
      </c>
      <c r="W75" s="263">
        <v>0.4063</v>
      </c>
      <c r="X75" s="263">
        <v>0.3939</v>
      </c>
      <c r="Y75" s="263">
        <v>0.3824</v>
      </c>
      <c r="Z75" s="288">
        <v>0.3714</v>
      </c>
      <c r="AA75" s="281">
        <f>=13/AA77</f>
        <v>0.361111111111111</v>
      </c>
      <c r="AB75" s="281">
        <f>=13/AB77</f>
        <v>0.351351351351351</v>
      </c>
      <c r="AC75" s="281">
        <f>=13/AC77</f>
        <v>0.342105263157895</v>
      </c>
      <c r="AD75" s="281">
        <f>=13/AD77</f>
        <v>0.333333333333333</v>
      </c>
      <c r="AE75" s="281">
        <f>=13/AE77</f>
        <v>0.325</v>
      </c>
      <c r="AF75" s="281">
        <f>=13/AF77</f>
        <v>0.317073170731707</v>
      </c>
      <c r="AG75" s="281">
        <f>=13/AG77</f>
        <v>0.30952380952381</v>
      </c>
      <c r="AH75" s="281">
        <f>=13/AH77</f>
        <v>0.302325581395349</v>
      </c>
      <c r="AI75" s="281">
        <f>=13/AI77</f>
        <v>0.295454545454546</v>
      </c>
      <c r="AJ75" s="281">
        <f>=13/AJ77</f>
        <v>0.288888888888889</v>
      </c>
      <c r="AK75" s="281">
        <f>=13/AK77</f>
        <v>0.282608695652174</v>
      </c>
      <c r="AL75" s="281">
        <f>=13/AL77</f>
        <v>0.276595744680851</v>
      </c>
      <c r="AM75" s="281">
        <f>=13/AM77</f>
        <v>0.270833333333333</v>
      </c>
      <c r="AN75" s="278" t="s"/>
      <c r="AO75" s="278" t="s"/>
      <c r="AP75" s="278" t="s"/>
      <c r="AQ75" s="278" t="s"/>
      <c r="AR75" s="278" t="s"/>
      <c r="AS75" s="278" t="s"/>
      <c r="AT75" s="282" t="s"/>
    </row>
    <row r="76" spans="1:46" ht="18" customHeight="1">
      <c r="A76" s="207" t="s"/>
      <c r="B76" s="264" t="s"/>
      <c r="C76" s="254" t="s">
        <v>317</v>
      </c>
      <c r="D76" s="269">
        <v>1.07</v>
      </c>
      <c r="E76" s="269">
        <v>1.13</v>
      </c>
      <c r="F76" s="283">
        <v>1.2</v>
      </c>
      <c r="G76" s="266">
        <v>1.27</v>
      </c>
      <c r="H76" s="266">
        <v>1.33</v>
      </c>
      <c r="I76" s="266">
        <v>1.4</v>
      </c>
      <c r="J76" s="266">
        <v>1.47</v>
      </c>
      <c r="K76" s="266">
        <v>1.53</v>
      </c>
      <c r="L76" s="266">
        <v>1.6</v>
      </c>
      <c r="M76" s="266">
        <v>1.67</v>
      </c>
      <c r="N76" s="266">
        <v>1.73</v>
      </c>
      <c r="O76" s="266">
        <v>1.8</v>
      </c>
      <c r="P76" s="266">
        <v>1.87</v>
      </c>
      <c r="Q76" s="266">
        <v>1.93</v>
      </c>
      <c r="R76" s="266">
        <v>2</v>
      </c>
      <c r="S76" s="266">
        <v>2.07</v>
      </c>
      <c r="T76" s="266">
        <v>2.13</v>
      </c>
      <c r="U76" s="266">
        <v>2.2</v>
      </c>
      <c r="V76" s="289">
        <v>2.27</v>
      </c>
      <c r="W76" s="266">
        <v>2.33</v>
      </c>
      <c r="X76" s="266">
        <v>2.4</v>
      </c>
      <c r="Y76" s="266">
        <v>2.47</v>
      </c>
      <c r="Z76" s="284">
        <v>2.53</v>
      </c>
      <c r="AA76" s="290">
        <v>2.6</v>
      </c>
      <c r="AB76" s="285">
        <v>2.67</v>
      </c>
      <c r="AC76" s="285">
        <v>2.73</v>
      </c>
      <c r="AD76" s="285">
        <v>2.8</v>
      </c>
      <c r="AE76" s="285">
        <v>2.87</v>
      </c>
      <c r="AF76" s="285">
        <v>2.93</v>
      </c>
      <c r="AG76" s="285">
        <v>3</v>
      </c>
      <c r="AH76" s="285">
        <v>3.07</v>
      </c>
      <c r="AI76" s="285">
        <v>3.13</v>
      </c>
      <c r="AJ76" s="289">
        <v>3.2</v>
      </c>
      <c r="AK76" s="285">
        <v>3.27</v>
      </c>
      <c r="AL76" s="285">
        <v>3.33</v>
      </c>
      <c r="AM76" s="285">
        <v>3.4</v>
      </c>
      <c r="AN76" s="278" t="s"/>
      <c r="AO76" s="278" t="s"/>
      <c r="AP76" s="278" t="s"/>
      <c r="AQ76" s="278" t="s"/>
      <c r="AR76" s="278" t="s"/>
      <c r="AS76" s="278" t="s"/>
      <c r="AT76" s="286" t="s"/>
    </row>
    <row r="77" spans="1:46" ht="18" customHeight="1">
      <c r="A77" s="207" t="s"/>
      <c r="B77" s="264" t="s"/>
      <c r="C77" s="254" t="s">
        <v>290</v>
      </c>
      <c r="D77" s="271">
        <v>13</v>
      </c>
      <c r="E77" s="271">
        <v>14</v>
      </c>
      <c r="F77" s="271">
        <v>15</v>
      </c>
      <c r="G77" s="259">
        <v>16</v>
      </c>
      <c r="H77" s="259">
        <v>17</v>
      </c>
      <c r="I77" s="259">
        <v>18</v>
      </c>
      <c r="J77" s="259">
        <v>19</v>
      </c>
      <c r="K77" s="259">
        <v>20</v>
      </c>
      <c r="L77" s="259">
        <v>21</v>
      </c>
      <c r="M77" s="259">
        <v>22</v>
      </c>
      <c r="N77" s="259">
        <v>23</v>
      </c>
      <c r="O77" s="259">
        <v>24</v>
      </c>
      <c r="P77" s="259">
        <v>25</v>
      </c>
      <c r="Q77" s="259">
        <v>26</v>
      </c>
      <c r="R77" s="259">
        <v>27</v>
      </c>
      <c r="S77" s="259">
        <v>28</v>
      </c>
      <c r="T77" s="259">
        <v>29</v>
      </c>
      <c r="U77" s="259">
        <v>30</v>
      </c>
      <c r="V77" s="259">
        <v>31</v>
      </c>
      <c r="W77" s="259">
        <v>32</v>
      </c>
      <c r="X77" s="259">
        <v>33</v>
      </c>
      <c r="Y77" s="259">
        <v>34</v>
      </c>
      <c r="Z77" s="287">
        <v>35</v>
      </c>
      <c r="AA77" s="259">
        <v>36</v>
      </c>
      <c r="AB77" s="287">
        <v>37</v>
      </c>
      <c r="AC77" s="259">
        <v>38</v>
      </c>
      <c r="AD77" s="287">
        <v>39</v>
      </c>
      <c r="AE77" s="259">
        <v>40</v>
      </c>
      <c r="AF77" s="287">
        <v>41</v>
      </c>
      <c r="AG77" s="259">
        <v>42</v>
      </c>
      <c r="AH77" s="287">
        <v>43</v>
      </c>
      <c r="AI77" s="259">
        <v>44</v>
      </c>
      <c r="AJ77" s="287">
        <v>45</v>
      </c>
      <c r="AK77" s="259">
        <v>46</v>
      </c>
      <c r="AL77" s="287">
        <v>47</v>
      </c>
      <c r="AM77" s="259">
        <v>48</v>
      </c>
      <c r="AN77" s="278" t="s"/>
      <c r="AO77" s="278" t="s"/>
      <c r="AP77" s="278" t="s"/>
      <c r="AQ77" s="278" t="s"/>
      <c r="AR77" s="278" t="s"/>
      <c r="AS77" s="278" t="s"/>
      <c r="AT77" s="253" t="s"/>
    </row>
    <row r="78" spans="1:46" ht="18" customHeight="1">
      <c r="A78" s="207" t="s"/>
      <c r="B78" s="260" t="s">
        <v>319</v>
      </c>
      <c r="C78" s="254" t="s">
        <v>288</v>
      </c>
      <c r="D78" s="268">
        <v>1</v>
      </c>
      <c r="E78" s="213">
        <f>=10/E80</f>
        <v>0.909090909090909</v>
      </c>
      <c r="F78" s="291">
        <f>=10/F80</f>
        <v>0.833333333333334</v>
      </c>
      <c r="G78" s="291">
        <f>=10/G80</f>
        <v>0.769230769230769</v>
      </c>
      <c r="H78" s="291">
        <f>=10/H80</f>
        <v>0.714285714285714</v>
      </c>
      <c r="I78" s="291">
        <f>=10/I80</f>
        <v>0.666666666666667</v>
      </c>
      <c r="J78" s="291">
        <f>=10/J80</f>
        <v>0.625</v>
      </c>
      <c r="K78" s="291">
        <f>=10/K80</f>
        <v>0.588235294117647</v>
      </c>
      <c r="L78" s="291">
        <f>=10/L80</f>
        <v>0.555555555555556</v>
      </c>
      <c r="M78" s="291">
        <f>=10/M80</f>
        <v>0.526315789473684</v>
      </c>
      <c r="N78" s="291">
        <f>=10/N80</f>
        <v>0.5</v>
      </c>
      <c r="O78" s="291">
        <f>=10/O80</f>
        <v>0.476190476190476</v>
      </c>
      <c r="P78" s="291">
        <f>=10/P80</f>
        <v>0.454545454545455</v>
      </c>
      <c r="Q78" s="291">
        <f>=10/Q80</f>
        <v>0.434782608695652</v>
      </c>
      <c r="R78" s="291">
        <f>=10/R80</f>
        <v>0.416666666666667</v>
      </c>
      <c r="S78" s="291">
        <f>=10/S80</f>
        <v>0.4</v>
      </c>
      <c r="T78" s="291">
        <f>=10/T80</f>
        <v>0.384615384615385</v>
      </c>
      <c r="U78" s="291">
        <f>=10/U80</f>
        <v>0.37037037037037</v>
      </c>
      <c r="V78" s="291">
        <f>=10/V80</f>
        <v>0.357142857142857</v>
      </c>
      <c r="W78" s="291">
        <f>=10/W80</f>
        <v>0.344827586206897</v>
      </c>
      <c r="X78" s="291">
        <f>=10/X80</f>
        <v>0.333333333333333</v>
      </c>
      <c r="Y78" s="291">
        <f>=10/Y80</f>
        <v>0.32258064516129</v>
      </c>
      <c r="Z78" s="292">
        <f>=10/Z80</f>
        <v>0.3125</v>
      </c>
      <c r="AA78" s="292">
        <f>=10/AA80</f>
        <v>0.303030303030303</v>
      </c>
      <c r="AB78" s="292">
        <f>=10/AB80</f>
        <v>0.294117647058824</v>
      </c>
      <c r="AC78" s="292">
        <f>=10/AC80</f>
        <v>0.285714285714286</v>
      </c>
      <c r="AD78" s="292">
        <f>=10/AD80</f>
        <v>0.277777777777778</v>
      </c>
      <c r="AE78" s="292">
        <f>=10/AE80</f>
        <v>0.27027027027027</v>
      </c>
      <c r="AF78" s="292">
        <f>=10/AF80</f>
        <v>0.263157894736842</v>
      </c>
      <c r="AG78" s="292">
        <f>=10/AG80</f>
        <v>0.256410256410256</v>
      </c>
      <c r="AH78" s="292">
        <f>=10/AH80</f>
        <v>0.25</v>
      </c>
      <c r="AI78" s="292">
        <f>=10/AI80</f>
        <v>0.24390243902439</v>
      </c>
      <c r="AJ78" s="292">
        <f>=10/AJ80</f>
        <v>0.238095238095238</v>
      </c>
      <c r="AK78" s="292">
        <f>=10/AK80</f>
        <v>0.232558139534884</v>
      </c>
      <c r="AL78" s="292">
        <f>=10/AL80</f>
        <v>0.227272727272727</v>
      </c>
      <c r="AM78" s="292">
        <f>=10/AM80</f>
        <v>0.222222222222222</v>
      </c>
      <c r="AN78" s="292">
        <f>=10/AN80</f>
        <v>0.217391304347826</v>
      </c>
      <c r="AO78" s="292">
        <f>=10/AO80</f>
        <v>0.212765957446809</v>
      </c>
      <c r="AP78" s="292">
        <f>=10/AP80</f>
        <v>0.208333333333333</v>
      </c>
      <c r="AQ78" s="292">
        <f>=10/AQ80</f>
        <v>0.204081632653061</v>
      </c>
      <c r="AR78" s="292">
        <f>=10/AR80</f>
        <v>0.2</v>
      </c>
      <c r="AS78" s="293" t="s"/>
      <c r="AT78" s="293" t="s"/>
    </row>
    <row r="79" spans="1:46" ht="18" customHeight="1">
      <c r="A79" s="207" t="s"/>
      <c r="B79" s="264" t="s"/>
      <c r="C79" s="254" t="s">
        <v>289</v>
      </c>
      <c r="D79" s="269">
        <v>1</v>
      </c>
      <c r="E79" s="216">
        <f>=D79/(D80-1)*(E80-1)</f>
        <v>1.11111111111111</v>
      </c>
      <c r="F79" s="257">
        <f>=E79/(E80-1)*(F80-1)</f>
        <v>1.22222222222222</v>
      </c>
      <c r="G79" s="257">
        <f>=F79/(F80-1)*(G80-1)</f>
        <v>1.33333333333333</v>
      </c>
      <c r="H79" s="257">
        <f>=G79/(G80-1)*(H80-1)</f>
        <v>1.44444444444445</v>
      </c>
      <c r="I79" s="257">
        <f>=H79/(H80-1)*(I80-1)</f>
        <v>1.55555555555556</v>
      </c>
      <c r="J79" s="257">
        <f>=I79/(I80-1)*(J80-1)</f>
        <v>1.66666666666667</v>
      </c>
      <c r="K79" s="257">
        <f>=J79/(J80-1)*(K80-1)</f>
        <v>1.77777777777778</v>
      </c>
      <c r="L79" s="257">
        <f>=K79/(K80-1)*(L80-1)</f>
        <v>1.88888888888889</v>
      </c>
      <c r="M79" s="257">
        <f>=L79/(L80-1)*(M80-1)</f>
        <v>2</v>
      </c>
      <c r="N79" s="257">
        <f>=M79/(M80-1)*(N80-1)</f>
        <v>2.11111111111111</v>
      </c>
      <c r="O79" s="257">
        <f>=N79/(N80-1)*(O80-1)</f>
        <v>2.22222222222222</v>
      </c>
      <c r="P79" s="257">
        <f>=O79/(O80-1)*(P80-1)</f>
        <v>2.33333333333333</v>
      </c>
      <c r="Q79" s="257">
        <f>=P79/(P80-1)*(Q80-1)</f>
        <v>2.44444444444445</v>
      </c>
      <c r="R79" s="257">
        <f>=Q79/(Q80-1)*(R80-1)</f>
        <v>2.55555555555556</v>
      </c>
      <c r="S79" s="257">
        <f>=R79/(R80-1)*(S80-1)</f>
        <v>2.66666666666667</v>
      </c>
      <c r="T79" s="257">
        <f>=S79/(S80-1)*(T80-1)</f>
        <v>2.77777777777778</v>
      </c>
      <c r="U79" s="257">
        <f>=T79/(T80-1)*(U80-1)</f>
        <v>2.88888888888889</v>
      </c>
      <c r="V79" s="257">
        <f>=U79/(U80-1)*(V80-1)</f>
        <v>3</v>
      </c>
      <c r="W79" s="257">
        <f>=V79/(V80-1)*(W80-1)</f>
        <v>3.11111111111111</v>
      </c>
      <c r="X79" s="257">
        <f>=W79/(W80-1)*(X80-1)</f>
        <v>3.22222222222222</v>
      </c>
      <c r="Y79" s="257">
        <f>=X79/(X80-1)*(Y80-1)</f>
        <v>3.33333333333334</v>
      </c>
      <c r="Z79" s="294">
        <f>=Y79/(Y80-1)*(Z80-1)</f>
        <v>3.44444444444445</v>
      </c>
      <c r="AA79" s="294">
        <f>=Z79/(Z80-1)*(AA80-1)</f>
        <v>3.55555555555556</v>
      </c>
      <c r="AB79" s="294">
        <f>=AA79/(AA80-1)*(AB80-1)</f>
        <v>3.66666666666667</v>
      </c>
      <c r="AC79" s="294">
        <f>=AB79/(AB80-1)*(AC80-1)</f>
        <v>3.77777777777778</v>
      </c>
      <c r="AD79" s="294">
        <f>=AC79/(AC80-1)*(AD80-1)</f>
        <v>3.88888888888889</v>
      </c>
      <c r="AE79" s="294">
        <f>=AD79/(AD80-1)*(AE80-1)</f>
        <v>4</v>
      </c>
      <c r="AF79" s="294">
        <f>=AE79/(AE80-1)*(AF80-1)</f>
        <v>4.11111111111111</v>
      </c>
      <c r="AG79" s="294">
        <f>=AF79/(AF80-1)*(AG80-1)</f>
        <v>4.22222222222222</v>
      </c>
      <c r="AH79" s="294">
        <f>=AG79/(AG80-1)*(AH80-1)</f>
        <v>4.33333333333334</v>
      </c>
      <c r="AI79" s="294">
        <f>=AH79/(AH80-1)*(AI80-1)</f>
        <v>4.44444444444445</v>
      </c>
      <c r="AJ79" s="294">
        <f>=AI79/(AI80-1)*(AJ80-1)</f>
        <v>4.55555555555556</v>
      </c>
      <c r="AK79" s="294">
        <f>=AJ79/(AJ80-1)*(AK80-1)</f>
        <v>4.66666666666667</v>
      </c>
      <c r="AL79" s="294">
        <f>=AK79/(AK80-1)*(AL80-1)</f>
        <v>4.77777777777778</v>
      </c>
      <c r="AM79" s="294">
        <f>=AL79/(AL80-1)*(AM80-1)</f>
        <v>4.88888888888889</v>
      </c>
      <c r="AN79" s="294">
        <f>=AM79/(AM80-1)*(AN80-1)</f>
        <v>5</v>
      </c>
      <c r="AO79" s="294">
        <f>=AN79/(AN80-1)*(AO80-1)</f>
        <v>5.11111111111111</v>
      </c>
      <c r="AP79" s="294">
        <f>=AO79/(AO80-1)*(AP80-1)</f>
        <v>5.22222222222223</v>
      </c>
      <c r="AQ79" s="294">
        <f>=AP79/(AP80-1)*(AQ80-1)</f>
        <v>5.33333333333334</v>
      </c>
      <c r="AR79" s="294">
        <f>=AQ79/(AQ80-1)*(AR80-1)</f>
        <v>5.44444444444445</v>
      </c>
      <c r="AS79" s="295" t="s"/>
      <c r="AT79" s="295" t="s"/>
    </row>
    <row r="80" spans="1:46" ht="18" customHeight="1">
      <c r="A80" s="207" t="s"/>
      <c r="B80" s="264" t="s"/>
      <c r="C80" s="254" t="s">
        <v>290</v>
      </c>
      <c r="D80" s="271">
        <v>10</v>
      </c>
      <c r="E80" s="271">
        <v>11</v>
      </c>
      <c r="F80" s="271">
        <v>12</v>
      </c>
      <c r="G80" s="259">
        <v>13</v>
      </c>
      <c r="H80" s="259">
        <v>14</v>
      </c>
      <c r="I80" s="259">
        <v>15</v>
      </c>
      <c r="J80" s="259">
        <v>16</v>
      </c>
      <c r="K80" s="259">
        <v>17</v>
      </c>
      <c r="L80" s="259">
        <v>18</v>
      </c>
      <c r="M80" s="259">
        <v>19</v>
      </c>
      <c r="N80" s="259">
        <v>20</v>
      </c>
      <c r="O80" s="259">
        <v>21</v>
      </c>
      <c r="P80" s="259">
        <v>22</v>
      </c>
      <c r="Q80" s="259">
        <v>23</v>
      </c>
      <c r="R80" s="259">
        <v>24</v>
      </c>
      <c r="S80" s="259">
        <v>25</v>
      </c>
      <c r="T80" s="259">
        <v>26</v>
      </c>
      <c r="U80" s="259">
        <v>27</v>
      </c>
      <c r="V80" s="259">
        <v>28</v>
      </c>
      <c r="W80" s="259">
        <v>29</v>
      </c>
      <c r="X80" s="259">
        <v>30</v>
      </c>
      <c r="Y80" s="259">
        <v>31</v>
      </c>
      <c r="Z80" s="287">
        <v>32</v>
      </c>
      <c r="AA80" s="259">
        <v>33</v>
      </c>
      <c r="AB80" s="287">
        <v>34</v>
      </c>
      <c r="AC80" s="259">
        <v>35</v>
      </c>
      <c r="AD80" s="287">
        <v>36</v>
      </c>
      <c r="AE80" s="259">
        <v>37</v>
      </c>
      <c r="AF80" s="287">
        <v>38</v>
      </c>
      <c r="AG80" s="259">
        <v>39</v>
      </c>
      <c r="AH80" s="287">
        <v>40</v>
      </c>
      <c r="AI80" s="259">
        <v>41</v>
      </c>
      <c r="AJ80" s="287">
        <v>42</v>
      </c>
      <c r="AK80" s="259">
        <v>43</v>
      </c>
      <c r="AL80" s="287">
        <v>44</v>
      </c>
      <c r="AM80" s="259">
        <v>45</v>
      </c>
      <c r="AN80" s="287">
        <v>46</v>
      </c>
      <c r="AO80" s="259">
        <v>47</v>
      </c>
      <c r="AP80" s="287">
        <v>48</v>
      </c>
      <c r="AQ80" s="259">
        <v>49</v>
      </c>
      <c r="AR80" s="287">
        <v>50</v>
      </c>
      <c r="AS80" s="253" t="s"/>
      <c r="AT80" s="253" t="s"/>
    </row>
    <row r="81" spans="1:46" ht="18" customHeight="1">
      <c r="A81" s="207" t="s"/>
      <c r="B81" s="260" t="s">
        <v>320</v>
      </c>
      <c r="C81" s="254" t="s">
        <v>288</v>
      </c>
      <c r="D81" s="268">
        <v>1</v>
      </c>
      <c r="E81" s="213">
        <f>=10/E83</f>
        <v>0.909090909090909</v>
      </c>
      <c r="F81" s="291">
        <f>=10/F83</f>
        <v>0.833333333333334</v>
      </c>
      <c r="G81" s="291">
        <f>=10/G83</f>
        <v>0.769230769230769</v>
      </c>
      <c r="H81" s="291">
        <f>=10/H83</f>
        <v>0.714285714285714</v>
      </c>
      <c r="I81" s="291">
        <f>=10/I83</f>
        <v>0.666666666666667</v>
      </c>
      <c r="J81" s="291">
        <f>=10/J83</f>
        <v>0.625</v>
      </c>
      <c r="K81" s="291">
        <f>=10/K83</f>
        <v>0.588235294117647</v>
      </c>
      <c r="L81" s="291">
        <f>=10/L83</f>
        <v>0.555555555555556</v>
      </c>
      <c r="M81" s="291">
        <f>=10/M83</f>
        <v>0.526315789473684</v>
      </c>
      <c r="N81" s="291">
        <f>=10/N83</f>
        <v>0.5</v>
      </c>
      <c r="O81" s="291">
        <f>=10/O83</f>
        <v>0.476190476190476</v>
      </c>
      <c r="P81" s="291">
        <f>=10/P83</f>
        <v>0.454545454545455</v>
      </c>
      <c r="Q81" s="291">
        <f>=10/Q83</f>
        <v>0.434782608695652</v>
      </c>
      <c r="R81" s="291">
        <f>=10/R83</f>
        <v>0.416666666666667</v>
      </c>
      <c r="S81" s="291">
        <f>=10/S83</f>
        <v>0.4</v>
      </c>
      <c r="T81" s="291">
        <f>=10/T83</f>
        <v>0.384615384615385</v>
      </c>
      <c r="U81" s="291">
        <f>=10/U83</f>
        <v>0.37037037037037</v>
      </c>
      <c r="V81" s="291">
        <f>=10/V83</f>
        <v>0.357142857142857</v>
      </c>
      <c r="W81" s="291">
        <f>=10/W83</f>
        <v>0.344827586206897</v>
      </c>
      <c r="X81" s="291">
        <f>=10/X83</f>
        <v>0.333333333333333</v>
      </c>
      <c r="Y81" s="291">
        <f>=10/Y83</f>
        <v>0.32258064516129</v>
      </c>
      <c r="Z81" s="292">
        <f>=10/Z83</f>
        <v>0.3125</v>
      </c>
      <c r="AA81" s="292">
        <f>=10/AA83</f>
        <v>0.303030303030303</v>
      </c>
      <c r="AB81" s="292">
        <f>=10/AB83</f>
        <v>0.294117647058824</v>
      </c>
      <c r="AC81" s="292">
        <f>=10/AC83</f>
        <v>0.285714285714286</v>
      </c>
      <c r="AD81" s="292">
        <f>=10/AD83</f>
        <v>0.277777777777778</v>
      </c>
      <c r="AE81" s="292">
        <f>=10/AE83</f>
        <v>0.27027027027027</v>
      </c>
      <c r="AF81" s="292">
        <f>=10/AF83</f>
        <v>0.263157894736842</v>
      </c>
      <c r="AG81" s="292">
        <f>=10/AG83</f>
        <v>0.256410256410256</v>
      </c>
      <c r="AH81" s="292">
        <f>=10/AH83</f>
        <v>0.25</v>
      </c>
      <c r="AI81" s="292">
        <f>=10/AI83</f>
        <v>0.24390243902439</v>
      </c>
      <c r="AJ81" s="292">
        <f>=10/AJ83</f>
        <v>0.238095238095238</v>
      </c>
      <c r="AK81" s="292">
        <f>=10/AK83</f>
        <v>0.232558139534884</v>
      </c>
      <c r="AL81" s="292">
        <f>=10/AL83</f>
        <v>0.227272727272727</v>
      </c>
      <c r="AM81" s="292">
        <f>=10/AM83</f>
        <v>0.222222222222222</v>
      </c>
      <c r="AN81" s="292">
        <f>=10/AN83</f>
        <v>0.217391304347826</v>
      </c>
      <c r="AO81" s="292">
        <f>=10/AO83</f>
        <v>0.212765957446809</v>
      </c>
      <c r="AP81" s="292">
        <f>=10/AP83</f>
        <v>0.208333333333333</v>
      </c>
      <c r="AQ81" s="292">
        <f>=10/AQ83</f>
        <v>0.204081632653061</v>
      </c>
      <c r="AR81" s="292">
        <f>=10/AR83</f>
        <v>0.2</v>
      </c>
      <c r="AS81" s="292">
        <f>=10/AS83</f>
        <v>0.196078431372549</v>
      </c>
      <c r="AT81" s="292">
        <f>=10/AT83</f>
        <v>0.192307692307692</v>
      </c>
    </row>
    <row r="82" spans="1:46" ht="18" customHeight="1">
      <c r="A82" s="207" t="s"/>
      <c r="B82" s="264" t="s"/>
      <c r="C82" s="254" t="s">
        <v>289</v>
      </c>
      <c r="D82" s="269">
        <v>1</v>
      </c>
      <c r="E82" s="216">
        <f>=D82/(D83-1)*(E83-1)</f>
        <v>1.11111111111111</v>
      </c>
      <c r="F82" s="257">
        <f>=E82/(E83-1)*(F83-1)</f>
        <v>1.22222222222222</v>
      </c>
      <c r="G82" s="257">
        <f>=F82/(F83-1)*(G83-1)</f>
        <v>1.33333333333333</v>
      </c>
      <c r="H82" s="257">
        <f>=G82/(G83-1)*(H83-1)</f>
        <v>1.44444444444445</v>
      </c>
      <c r="I82" s="257">
        <f>=H82/(H83-1)*(I83-1)</f>
        <v>1.55555555555556</v>
      </c>
      <c r="J82" s="257">
        <f>=I82/(I83-1)*(J83-1)</f>
        <v>1.66666666666667</v>
      </c>
      <c r="K82" s="257">
        <f>=J82/(J83-1)*(K83-1)</f>
        <v>1.77777777777778</v>
      </c>
      <c r="L82" s="257">
        <f>=K82/(K83-1)*(L83-1)</f>
        <v>1.88888888888889</v>
      </c>
      <c r="M82" s="257">
        <f>=L82/(L83-1)*(M83-1)</f>
        <v>2</v>
      </c>
      <c r="N82" s="257">
        <f>=M82/(M83-1)*(N83-1)</f>
        <v>2.11111111111111</v>
      </c>
      <c r="O82" s="257">
        <f>=N82/(N83-1)*(O83-1)</f>
        <v>2.22222222222222</v>
      </c>
      <c r="P82" s="257">
        <f>=O82/(O83-1)*(P83-1)</f>
        <v>2.33333333333333</v>
      </c>
      <c r="Q82" s="257">
        <f>=P82/(P83-1)*(Q83-1)</f>
        <v>2.44444444444445</v>
      </c>
      <c r="R82" s="257">
        <f>=Q82/(Q83-1)*(R83-1)</f>
        <v>2.55555555555556</v>
      </c>
      <c r="S82" s="257">
        <f>=R82/(R83-1)*(S83-1)</f>
        <v>2.66666666666667</v>
      </c>
      <c r="T82" s="257">
        <f>=S82/(S83-1)*(T83-1)</f>
        <v>2.77777777777778</v>
      </c>
      <c r="U82" s="257">
        <f>=T82/(T83-1)*(U83-1)</f>
        <v>2.88888888888889</v>
      </c>
      <c r="V82" s="257">
        <f>=U82/(U83-1)*(V83-1)</f>
        <v>3</v>
      </c>
      <c r="W82" s="257">
        <f>=V82/(V83-1)*(W83-1)</f>
        <v>3.11111111111111</v>
      </c>
      <c r="X82" s="257">
        <f>=W82/(W83-1)*(X83-1)</f>
        <v>3.22222222222222</v>
      </c>
      <c r="Y82" s="257">
        <f>=X82/(X83-1)*(Y83-1)</f>
        <v>3.33333333333334</v>
      </c>
      <c r="Z82" s="294">
        <f>=Y82/(Y83-1)*(Z83-1)</f>
        <v>3.44444444444445</v>
      </c>
      <c r="AA82" s="294">
        <f>=Z82/(Z83-1)*(AA83-1)</f>
        <v>3.55555555555556</v>
      </c>
      <c r="AB82" s="294">
        <f>=AA82/(AA83-1)*(AB83-1)</f>
        <v>3.66666666666667</v>
      </c>
      <c r="AC82" s="294">
        <f>=AB82/(AB83-1)*(AC83-1)</f>
        <v>3.77777777777778</v>
      </c>
      <c r="AD82" s="294">
        <f>=AC82/(AC83-1)*(AD83-1)</f>
        <v>3.88888888888889</v>
      </c>
      <c r="AE82" s="294">
        <f>=AD82/(AD83-1)*(AE83-1)</f>
        <v>4</v>
      </c>
      <c r="AF82" s="294">
        <f>=AE82/(AE83-1)*(AF83-1)</f>
        <v>4.11111111111111</v>
      </c>
      <c r="AG82" s="294">
        <f>=AF82/(AF83-1)*(AG83-1)</f>
        <v>4.22222222222222</v>
      </c>
      <c r="AH82" s="294">
        <f>=AG82/(AG83-1)*(AH83-1)</f>
        <v>4.33333333333334</v>
      </c>
      <c r="AI82" s="294">
        <f>=AH82/(AH83-1)*(AI83-1)</f>
        <v>4.44444444444445</v>
      </c>
      <c r="AJ82" s="294">
        <f>=AI82/(AI83-1)*(AJ83-1)</f>
        <v>4.55555555555556</v>
      </c>
      <c r="AK82" s="294">
        <f>=AJ82/(AJ83-1)*(AK83-1)</f>
        <v>4.66666666666667</v>
      </c>
      <c r="AL82" s="294">
        <f>=AK82/(AK83-1)*(AL83-1)</f>
        <v>4.77777777777778</v>
      </c>
      <c r="AM82" s="294">
        <f>=AL82/(AL83-1)*(AM83-1)</f>
        <v>4.88888888888889</v>
      </c>
      <c r="AN82" s="294">
        <f>=AM82/(AM83-1)*(AN83-1)</f>
        <v>5</v>
      </c>
      <c r="AO82" s="294">
        <f>=AN82/(AN83-1)*(AO83-1)</f>
        <v>5.11111111111111</v>
      </c>
      <c r="AP82" s="294">
        <f>=AO82/(AO83-1)*(AP83-1)</f>
        <v>5.22222222222223</v>
      </c>
      <c r="AQ82" s="294">
        <f>=AP82/(AP83-1)*(AQ83-1)</f>
        <v>5.33333333333334</v>
      </c>
      <c r="AR82" s="294">
        <f>=AQ82/(AQ83-1)*(AR83-1)</f>
        <v>5.44444444444445</v>
      </c>
      <c r="AS82" s="294">
        <f>=AR82/(AR83-1)*(AS83-1)</f>
        <v>5.55555555555556</v>
      </c>
      <c r="AT82" s="294">
        <f>=AS82/(AS83-1)*(AT83-1)</f>
        <v>5.66666666666667</v>
      </c>
    </row>
    <row r="83" spans="1:46" ht="18" customHeight="1">
      <c r="A83" s="207" t="s"/>
      <c r="B83" s="264" t="s"/>
      <c r="C83" s="254" t="s">
        <v>290</v>
      </c>
      <c r="D83" s="271">
        <v>10</v>
      </c>
      <c r="E83" s="271">
        <v>11</v>
      </c>
      <c r="F83" s="271">
        <v>12</v>
      </c>
      <c r="G83" s="259">
        <v>13</v>
      </c>
      <c r="H83" s="259">
        <v>14</v>
      </c>
      <c r="I83" s="259">
        <v>15</v>
      </c>
      <c r="J83" s="259">
        <v>16</v>
      </c>
      <c r="K83" s="259">
        <v>17</v>
      </c>
      <c r="L83" s="259">
        <v>18</v>
      </c>
      <c r="M83" s="259">
        <v>19</v>
      </c>
      <c r="N83" s="259">
        <v>20</v>
      </c>
      <c r="O83" s="259">
        <v>21</v>
      </c>
      <c r="P83" s="259">
        <v>22</v>
      </c>
      <c r="Q83" s="259">
        <v>23</v>
      </c>
      <c r="R83" s="259">
        <v>24</v>
      </c>
      <c r="S83" s="259">
        <v>25</v>
      </c>
      <c r="T83" s="259">
        <v>26</v>
      </c>
      <c r="U83" s="259">
        <v>27</v>
      </c>
      <c r="V83" s="259">
        <v>28</v>
      </c>
      <c r="W83" s="259">
        <v>29</v>
      </c>
      <c r="X83" s="259">
        <v>30</v>
      </c>
      <c r="Y83" s="259">
        <v>31</v>
      </c>
      <c r="Z83" s="287">
        <v>32</v>
      </c>
      <c r="AA83" s="287">
        <v>33</v>
      </c>
      <c r="AB83" s="287">
        <v>34</v>
      </c>
      <c r="AC83" s="287">
        <v>35</v>
      </c>
      <c r="AD83" s="287">
        <v>36</v>
      </c>
      <c r="AE83" s="287">
        <v>37</v>
      </c>
      <c r="AF83" s="287">
        <v>38</v>
      </c>
      <c r="AG83" s="287">
        <v>39</v>
      </c>
      <c r="AH83" s="287">
        <v>40</v>
      </c>
      <c r="AI83" s="287">
        <v>41</v>
      </c>
      <c r="AJ83" s="287">
        <v>42</v>
      </c>
      <c r="AK83" s="287">
        <v>43</v>
      </c>
      <c r="AL83" s="287">
        <v>44</v>
      </c>
      <c r="AM83" s="287">
        <v>45</v>
      </c>
      <c r="AN83" s="287">
        <v>46</v>
      </c>
      <c r="AO83" s="287">
        <v>47</v>
      </c>
      <c r="AP83" s="287">
        <v>48</v>
      </c>
      <c r="AQ83" s="287">
        <v>49</v>
      </c>
      <c r="AR83" s="287">
        <v>50</v>
      </c>
      <c r="AS83" s="287">
        <v>51</v>
      </c>
      <c r="AT83" s="287">
        <v>52</v>
      </c>
    </row>
    <row r="84" spans="1:46" ht="18" customHeight="1">
      <c r="A84" s="207" t="s"/>
      <c r="B84" s="260" t="s">
        <v>321</v>
      </c>
      <c r="C84" s="254" t="s">
        <v>288</v>
      </c>
      <c r="D84" s="268">
        <v>1</v>
      </c>
      <c r="E84" s="223">
        <f>=7/E86</f>
        <v>0.875</v>
      </c>
      <c r="F84" s="296">
        <f>=7/F86</f>
        <v>0.777777777777778</v>
      </c>
      <c r="G84" s="296">
        <f>=7/G86</f>
        <v>0.7</v>
      </c>
      <c r="H84" s="296">
        <f>=7/H86</f>
        <v>0.636363636363637</v>
      </c>
      <c r="I84" s="296">
        <f>=7/I86</f>
        <v>0.583333333333334</v>
      </c>
      <c r="J84" s="296">
        <f>=7/J86</f>
        <v>0.538461538461539</v>
      </c>
      <c r="K84" s="296">
        <f>=7/K86</f>
        <v>0.5</v>
      </c>
      <c r="L84" s="296">
        <f>=7/L86</f>
        <v>0.466666666666667</v>
      </c>
      <c r="M84" s="296">
        <f>=7/M86</f>
        <v>0.4375</v>
      </c>
      <c r="N84" s="296">
        <f>=7/N86</f>
        <v>0.411764705882353</v>
      </c>
      <c r="O84" s="296">
        <f>=7/O86</f>
        <v>0.388888888888889</v>
      </c>
      <c r="P84" s="296">
        <f>=7/P86</f>
        <v>0.368421052631579</v>
      </c>
      <c r="Q84" s="296">
        <f>=7/Q86</f>
        <v>0.35</v>
      </c>
      <c r="R84" s="296">
        <f>=7/R86</f>
        <v>0.333333333333333</v>
      </c>
      <c r="S84" s="296">
        <f>=7/S86</f>
        <v>0.318181818181818</v>
      </c>
      <c r="T84" s="296">
        <f>=7/T86</f>
        <v>0.304347826086957</v>
      </c>
      <c r="U84" s="296">
        <f>=7/U86</f>
        <v>0.291666666666667</v>
      </c>
      <c r="V84" s="296">
        <f>=7/V86</f>
        <v>0.28</v>
      </c>
      <c r="W84" s="296">
        <f>=7/W86</f>
        <v>0.269230769230769</v>
      </c>
      <c r="X84" s="296">
        <f>=7/X86</f>
        <v>0.259259259259259</v>
      </c>
      <c r="Y84" s="296">
        <f>=7/Y86</f>
        <v>0.25</v>
      </c>
      <c r="Z84" s="292">
        <f>=7/Z86</f>
        <v>0.241379310344828</v>
      </c>
      <c r="AA84" s="292">
        <f>=7/AA86</f>
        <v>0.233333333333333</v>
      </c>
      <c r="AB84" s="292">
        <f>=7/AB86</f>
        <v>0.225806451612903</v>
      </c>
      <c r="AC84" s="292">
        <f>=7/AC86</f>
        <v>0.21875</v>
      </c>
      <c r="AD84" s="292">
        <f>=7/AD86</f>
        <v>0.212121212121212</v>
      </c>
      <c r="AE84" s="292">
        <f>=7/AE86</f>
        <v>0.205882352941177</v>
      </c>
      <c r="AF84" s="292">
        <f>=7/AF86</f>
        <v>0.2</v>
      </c>
      <c r="AG84" s="292">
        <f>=7/AG86</f>
        <v>0.194444444444444</v>
      </c>
      <c r="AH84" s="292">
        <f>=7/AH86</f>
        <v>0.189189189189189</v>
      </c>
      <c r="AI84" s="292">
        <f>=7/AI86</f>
        <v>0.18421052631579</v>
      </c>
      <c r="AJ84" s="292">
        <f>=7/AJ86</f>
        <v>0.17948717948718</v>
      </c>
      <c r="AK84" s="292">
        <f>=7/AK86</f>
        <v>0.175</v>
      </c>
      <c r="AL84" s="282" t="s"/>
      <c r="AM84" s="282" t="s"/>
      <c r="AN84" s="282" t="s"/>
      <c r="AO84" s="282" t="s"/>
      <c r="AP84" s="282" t="s"/>
      <c r="AQ84" s="282" t="s"/>
      <c r="AR84" s="282" t="s"/>
      <c r="AS84" s="282" t="s"/>
      <c r="AT84" s="282" t="s"/>
    </row>
    <row r="85" spans="1:46" ht="18" customHeight="1">
      <c r="A85" s="207" t="s"/>
      <c r="B85" s="264" t="s"/>
      <c r="C85" s="254" t="s">
        <v>289</v>
      </c>
      <c r="D85" s="269">
        <v>1.2</v>
      </c>
      <c r="E85" s="216">
        <f>=D85/(D86-1)*(E86-1)</f>
        <v>1.4</v>
      </c>
      <c r="F85" s="257">
        <f>=E85/(E86-1)*(F86-1)</f>
        <v>1.6</v>
      </c>
      <c r="G85" s="257">
        <f>=F85/(F86-1)*(G86-1)</f>
        <v>1.8</v>
      </c>
      <c r="H85" s="257">
        <f>=G85/(G86-1)*(H86-1)</f>
        <v>2</v>
      </c>
      <c r="I85" s="257">
        <f>=H85/(H86-1)*(I86-1)</f>
        <v>2.2</v>
      </c>
      <c r="J85" s="257">
        <f>=I85/(I86-1)*(J86-1)</f>
        <v>2.4</v>
      </c>
      <c r="K85" s="257">
        <f>=J85/(J86-1)*(K86-1)</f>
        <v>2.6</v>
      </c>
      <c r="L85" s="257">
        <f>=K85/(K86-1)*(L86-1)</f>
        <v>2.8</v>
      </c>
      <c r="M85" s="257">
        <f>=L85/(L86-1)*(M86-1)</f>
        <v>3</v>
      </c>
      <c r="N85" s="257">
        <f>=M85/(M86-1)*(N86-1)</f>
        <v>3.2</v>
      </c>
      <c r="O85" s="257">
        <f>=N85/(N86-1)*(O86-1)</f>
        <v>3.4</v>
      </c>
      <c r="P85" s="257">
        <f>=O85/(O86-1)*(P86-1)</f>
        <v>3.6</v>
      </c>
      <c r="Q85" s="257">
        <f>=P85/(P86-1)*(Q86-1)</f>
        <v>3.8</v>
      </c>
      <c r="R85" s="257">
        <f>=Q85/(Q86-1)*(R86-1)</f>
        <v>4</v>
      </c>
      <c r="S85" s="257">
        <f>=R85/(R86-1)*(S86-1)</f>
        <v>4.2</v>
      </c>
      <c r="T85" s="257">
        <f>=S85/(S86-1)*(T86-1)</f>
        <v>4.4</v>
      </c>
      <c r="U85" s="257">
        <f>=T85/(T86-1)*(U86-1)</f>
        <v>4.6</v>
      </c>
      <c r="V85" s="257">
        <f>=U85/(U86-1)*(V86-1)</f>
        <v>4.8</v>
      </c>
      <c r="W85" s="257">
        <f>=V85/(V86-1)*(W86-1)</f>
        <v>5</v>
      </c>
      <c r="X85" s="257">
        <f>=W85/(W86-1)*(X86-1)</f>
        <v>5.2</v>
      </c>
      <c r="Y85" s="257">
        <f>=X85/(X86-1)*(Y86-1)</f>
        <v>5.4</v>
      </c>
      <c r="Z85" s="294">
        <f>=Y85/(Y86-1)*(Z86-1)</f>
        <v>5.6</v>
      </c>
      <c r="AA85" s="294">
        <f>=Z85/(Z86-1)*(AA86-1)</f>
        <v>5.8</v>
      </c>
      <c r="AB85" s="294">
        <f>=AA85/(AA86-1)*(AB86-1)</f>
        <v>6</v>
      </c>
      <c r="AC85" s="294">
        <f>=AB85/(AB86-1)*(AC86-1)</f>
        <v>6.2</v>
      </c>
      <c r="AD85" s="294">
        <f>=AC85/(AC86-1)*(AD86-1)</f>
        <v>6.4</v>
      </c>
      <c r="AE85" s="294">
        <f>=AD85/(AD86-1)*(AE86-1)</f>
        <v>6.6</v>
      </c>
      <c r="AF85" s="294">
        <f>=AE85/(AE86-1)*(AF86-1)</f>
        <v>6.8</v>
      </c>
      <c r="AG85" s="294">
        <f>=AF85/(AF86-1)*(AG86-1)</f>
        <v>7</v>
      </c>
      <c r="AH85" s="294">
        <f>=AG85/(AG86-1)*(AH86-1)</f>
        <v>7.2</v>
      </c>
      <c r="AI85" s="294">
        <f>=AH85/(AH86-1)*(AI86-1)</f>
        <v>7.4</v>
      </c>
      <c r="AJ85" s="294">
        <f>=AI85/(AI86-1)*(AJ86-1)</f>
        <v>7.6</v>
      </c>
      <c r="AK85" s="294">
        <f>=AJ85/(AJ86-1)*(AK86-1)</f>
        <v>7.8</v>
      </c>
      <c r="AL85" s="278" t="s"/>
      <c r="AM85" s="278" t="s"/>
      <c r="AN85" s="278" t="s"/>
      <c r="AO85" s="278" t="s"/>
      <c r="AP85" s="278" t="s"/>
      <c r="AQ85" s="278" t="s"/>
      <c r="AR85" s="278" t="s"/>
      <c r="AS85" s="278" t="s"/>
      <c r="AT85" s="278" t="s"/>
    </row>
    <row r="86" spans="1:46" ht="18" customHeight="1">
      <c r="A86" s="207" t="s"/>
      <c r="B86" s="264" t="s"/>
      <c r="C86" s="254" t="s">
        <v>290</v>
      </c>
      <c r="D86" s="271">
        <v>7</v>
      </c>
      <c r="E86" s="271">
        <v>8</v>
      </c>
      <c r="F86" s="271">
        <v>9</v>
      </c>
      <c r="G86" s="271">
        <v>10</v>
      </c>
      <c r="H86" s="271">
        <v>11</v>
      </c>
      <c r="I86" s="271">
        <v>12</v>
      </c>
      <c r="J86" s="271">
        <v>13</v>
      </c>
      <c r="K86" s="271">
        <v>14</v>
      </c>
      <c r="L86" s="271">
        <v>15</v>
      </c>
      <c r="M86" s="271">
        <v>16</v>
      </c>
      <c r="N86" s="271">
        <v>17</v>
      </c>
      <c r="O86" s="271">
        <v>18</v>
      </c>
      <c r="P86" s="271">
        <v>19</v>
      </c>
      <c r="Q86" s="271">
        <v>20</v>
      </c>
      <c r="R86" s="271">
        <v>21</v>
      </c>
      <c r="S86" s="271">
        <v>22</v>
      </c>
      <c r="T86" s="271">
        <v>23</v>
      </c>
      <c r="U86" s="271">
        <v>24</v>
      </c>
      <c r="V86" s="271">
        <v>25</v>
      </c>
      <c r="W86" s="259">
        <v>26</v>
      </c>
      <c r="X86" s="259">
        <v>27</v>
      </c>
      <c r="Y86" s="259">
        <v>28</v>
      </c>
      <c r="Z86" s="287">
        <v>29</v>
      </c>
      <c r="AA86" s="259">
        <v>30</v>
      </c>
      <c r="AB86" s="287">
        <v>31</v>
      </c>
      <c r="AC86" s="259">
        <v>32</v>
      </c>
      <c r="AD86" s="287">
        <v>33</v>
      </c>
      <c r="AE86" s="259">
        <v>34</v>
      </c>
      <c r="AF86" s="287">
        <v>35</v>
      </c>
      <c r="AG86" s="259">
        <v>36</v>
      </c>
      <c r="AH86" s="287">
        <v>37</v>
      </c>
      <c r="AI86" s="259">
        <v>38</v>
      </c>
      <c r="AJ86" s="287">
        <v>39</v>
      </c>
      <c r="AK86" s="259">
        <v>40</v>
      </c>
      <c r="AL86" s="278" t="s"/>
      <c r="AM86" s="278" t="s"/>
      <c r="AN86" s="278" t="s"/>
      <c r="AO86" s="278" t="s"/>
      <c r="AP86" s="278" t="s"/>
      <c r="AQ86" s="278" t="s"/>
      <c r="AR86" s="278" t="s"/>
      <c r="AS86" s="278" t="s"/>
      <c r="AT86" s="278" t="s"/>
    </row>
    <row r="87" spans="1:46" ht="18" customHeight="1">
      <c r="A87" s="207" t="s"/>
      <c r="B87" s="260" t="s">
        <v>322</v>
      </c>
      <c r="C87" s="254" t="s">
        <v>288</v>
      </c>
      <c r="D87" s="297">
        <v>1</v>
      </c>
      <c r="E87" s="223">
        <f>=7/E89</f>
        <v>0.875</v>
      </c>
      <c r="F87" s="292">
        <f>=7/F89</f>
        <v>0.777777777777778</v>
      </c>
      <c r="G87" s="292">
        <f>=7/G89</f>
        <v>0.7</v>
      </c>
      <c r="H87" s="292">
        <f>=7/H89</f>
        <v>0.636363636363637</v>
      </c>
      <c r="I87" s="292">
        <f>=7/I89</f>
        <v>0.583333333333334</v>
      </c>
      <c r="J87" s="292">
        <f>=7/J89</f>
        <v>0.538461538461539</v>
      </c>
      <c r="K87" s="292">
        <f>=7/K89</f>
        <v>0.5</v>
      </c>
      <c r="L87" s="292">
        <f>=7/L89</f>
        <v>0.466666666666667</v>
      </c>
      <c r="M87" s="292">
        <f>=7/M89</f>
        <v>0.4375</v>
      </c>
      <c r="N87" s="292">
        <f>=7/N89</f>
        <v>0.411764705882353</v>
      </c>
      <c r="O87" s="292">
        <f>=7/O89</f>
        <v>0.388888888888889</v>
      </c>
      <c r="P87" s="292">
        <f>=7/P89</f>
        <v>0.368421052631579</v>
      </c>
      <c r="Q87" s="292">
        <f>=7/Q89</f>
        <v>0.35</v>
      </c>
      <c r="R87" s="292">
        <f>=7/R89</f>
        <v>0.333333333333333</v>
      </c>
      <c r="S87" s="292">
        <f>=7/S89</f>
        <v>0.318181818181818</v>
      </c>
      <c r="T87" s="292">
        <f>=7/T89</f>
        <v>0.304347826086957</v>
      </c>
      <c r="U87" s="292">
        <f>=7/U89</f>
        <v>0.291666666666667</v>
      </c>
      <c r="V87" s="292">
        <f>=7/V89</f>
        <v>0.28</v>
      </c>
      <c r="W87" s="292">
        <f>=7/W89</f>
        <v>0.269230769230769</v>
      </c>
      <c r="X87" s="292">
        <f>=7/X89</f>
        <v>0.259259259259259</v>
      </c>
      <c r="Y87" s="292">
        <f>=7/Y89</f>
        <v>0.25</v>
      </c>
      <c r="Z87" s="292">
        <f>=7/Z89</f>
        <v>0.241379310344828</v>
      </c>
      <c r="AA87" s="292">
        <f>=7/AA89</f>
        <v>0.233333333333333</v>
      </c>
      <c r="AB87" s="292">
        <f>=7/AB89</f>
        <v>0.225806451612903</v>
      </c>
      <c r="AC87" s="292">
        <f>=7/AC89</f>
        <v>0.21875</v>
      </c>
      <c r="AD87" s="292">
        <f>=7/AD89</f>
        <v>0.212121212121212</v>
      </c>
      <c r="AE87" s="292">
        <f>=7/AE89</f>
        <v>0.205882352941177</v>
      </c>
      <c r="AF87" s="292">
        <f>=7/AF89</f>
        <v>0.2</v>
      </c>
      <c r="AG87" s="292">
        <f>=7/AG89</f>
        <v>0.194444444444444</v>
      </c>
      <c r="AH87" s="292">
        <f>=7/AH89</f>
        <v>0.189189189189189</v>
      </c>
      <c r="AI87" s="292">
        <f>=7/AI89</f>
        <v>0.18421052631579</v>
      </c>
      <c r="AJ87" s="292">
        <f>=7/AJ89</f>
        <v>0.17948717948718</v>
      </c>
      <c r="AK87" s="292">
        <f>=7/AK89</f>
        <v>0.175</v>
      </c>
      <c r="AL87" s="278" t="s"/>
      <c r="AM87" s="278" t="s"/>
      <c r="AN87" s="278" t="s"/>
      <c r="AO87" s="278" t="s"/>
      <c r="AP87" s="278" t="s"/>
      <c r="AQ87" s="278" t="s"/>
      <c r="AR87" s="278" t="s"/>
      <c r="AS87" s="278" t="s"/>
      <c r="AT87" s="278" t="s"/>
    </row>
    <row r="88" spans="1:46" ht="18" customHeight="1">
      <c r="A88" s="207" t="s"/>
      <c r="B88" s="264" t="s"/>
      <c r="C88" s="254" t="s">
        <v>289</v>
      </c>
      <c r="D88" s="298">
        <v>0.92</v>
      </c>
      <c r="E88" s="210">
        <f>=D88/(D89-1)*(E89-1)</f>
        <v>1.07333333333333</v>
      </c>
      <c r="F88" s="210">
        <f>=E88/(E89-1)*(F89-1)</f>
        <v>1.22666666666667</v>
      </c>
      <c r="G88" s="210">
        <f>=F88/(F89-1)*(G89-1)</f>
        <v>1.38</v>
      </c>
      <c r="H88" s="210">
        <f>=G88/(G89-1)*(H89-1)</f>
        <v>1.53333333333333</v>
      </c>
      <c r="I88" s="210">
        <f>=H88/(H89-1)*(I89-1)</f>
        <v>1.68666666666667</v>
      </c>
      <c r="J88" s="210">
        <f>=I88/(I89-1)*(J89-1)</f>
        <v>1.84</v>
      </c>
      <c r="K88" s="210">
        <f>=J88/(J89-1)*(K89-1)</f>
        <v>1.99333333333333</v>
      </c>
      <c r="L88" s="210">
        <f>=K88/(K89-1)*(L89-1)</f>
        <v>2.14666666666667</v>
      </c>
      <c r="M88" s="210">
        <f>=L88/(L89-1)*(M89-1)</f>
        <v>2.3</v>
      </c>
      <c r="N88" s="210">
        <f>=M88/(M89-1)*(N89-1)</f>
        <v>2.45333333333333</v>
      </c>
      <c r="O88" s="210">
        <f>=N88/(N89-1)*(O89-1)</f>
        <v>2.60666666666667</v>
      </c>
      <c r="P88" s="210">
        <f>=O88/(O89-1)*(P89-1)</f>
        <v>2.76</v>
      </c>
      <c r="Q88" s="210">
        <f>=P88/(P89-1)*(Q89-1)</f>
        <v>2.91333333333333</v>
      </c>
      <c r="R88" s="210">
        <f>=Q88/(Q89-1)*(R89-1)</f>
        <v>3.06666666666667</v>
      </c>
      <c r="S88" s="210">
        <f>=R88/(R89-1)*(S89-1)</f>
        <v>3.22</v>
      </c>
      <c r="T88" s="210">
        <f>=S88/(S89-1)*(T89-1)</f>
        <v>3.37333333333333</v>
      </c>
      <c r="U88" s="210">
        <f>=T88/(T89-1)*(U89-1)</f>
        <v>3.52666666666667</v>
      </c>
      <c r="V88" s="210">
        <f>=U88/(U89-1)*(V89-1)</f>
        <v>3.68</v>
      </c>
      <c r="W88" s="210">
        <f>=V88/(V89-1)*(W89-1)</f>
        <v>3.83333333333333</v>
      </c>
      <c r="X88" s="210">
        <f>=W88/(W89-1)*(X89-1)</f>
        <v>3.98666666666667</v>
      </c>
      <c r="Y88" s="210">
        <f>=X88/(X89-1)*(Y89-1)</f>
        <v>4.14</v>
      </c>
      <c r="Z88" s="210">
        <f>=Y88/(Y89-1)*(Z89-1)</f>
        <v>4.29333333333334</v>
      </c>
      <c r="AA88" s="210">
        <f>=Z88/(Z89-1)*(AA89-1)</f>
        <v>4.44666666666667</v>
      </c>
      <c r="AB88" s="210">
        <f>=AA88/(AA89-1)*(AB89-1)</f>
        <v>4.6</v>
      </c>
      <c r="AC88" s="210">
        <f>=AB88/(AB89-1)*(AC89-1)</f>
        <v>4.75333333333334</v>
      </c>
      <c r="AD88" s="210">
        <f>=AC88/(AC89-1)*(AD89-1)</f>
        <v>4.90666666666667</v>
      </c>
      <c r="AE88" s="210">
        <f>=AD88/(AD89-1)*(AE89-1)</f>
        <v>5.06</v>
      </c>
      <c r="AF88" s="210">
        <f>=AE88/(AE89-1)*(AF89-1)</f>
        <v>5.21333333333334</v>
      </c>
      <c r="AG88" s="210">
        <f>=AF88/(AF89-1)*(AG89-1)</f>
        <v>5.36666666666667</v>
      </c>
      <c r="AH88" s="210">
        <f>=AG88/(AG89-1)*(AH89-1)</f>
        <v>5.52</v>
      </c>
      <c r="AI88" s="210">
        <f>=AH88/(AH89-1)*(AI89-1)</f>
        <v>5.67333333333334</v>
      </c>
      <c r="AJ88" s="210">
        <f>=AI88/(AI89-1)*(AJ89-1)</f>
        <v>5.82666666666667</v>
      </c>
      <c r="AK88" s="210">
        <f>=AJ88/(AJ89-1)*(AK89-1)</f>
        <v>5.98</v>
      </c>
      <c r="AL88" s="299" t="s"/>
      <c r="AM88" s="299" t="s"/>
      <c r="AN88" s="299" t="s"/>
      <c r="AO88" s="299" t="s"/>
      <c r="AP88" s="299" t="s"/>
      <c r="AQ88" s="299" t="s"/>
      <c r="AR88" s="299" t="s"/>
      <c r="AS88" s="299" t="s"/>
      <c r="AT88" s="299" t="s"/>
    </row>
    <row r="89" spans="1:46" ht="18" customHeight="1">
      <c r="A89" s="207" t="s"/>
      <c r="B89" s="264" t="s"/>
      <c r="C89" s="254" t="s">
        <v>290</v>
      </c>
      <c r="D89" s="300">
        <v>7</v>
      </c>
      <c r="E89" s="300">
        <v>8</v>
      </c>
      <c r="F89" s="300">
        <v>9</v>
      </c>
      <c r="G89" s="300">
        <v>10</v>
      </c>
      <c r="H89" s="300">
        <v>11</v>
      </c>
      <c r="I89" s="300">
        <v>12</v>
      </c>
      <c r="J89" s="300">
        <v>13</v>
      </c>
      <c r="K89" s="300">
        <v>14</v>
      </c>
      <c r="L89" s="300">
        <v>15</v>
      </c>
      <c r="M89" s="300">
        <v>16</v>
      </c>
      <c r="N89" s="300">
        <v>17</v>
      </c>
      <c r="O89" s="300">
        <v>18</v>
      </c>
      <c r="P89" s="300">
        <v>19</v>
      </c>
      <c r="Q89" s="300">
        <v>20</v>
      </c>
      <c r="R89" s="300">
        <v>21</v>
      </c>
      <c r="S89" s="300">
        <v>22</v>
      </c>
      <c r="T89" s="300">
        <v>23</v>
      </c>
      <c r="U89" s="300">
        <v>24</v>
      </c>
      <c r="V89" s="300">
        <v>25</v>
      </c>
      <c r="W89" s="287">
        <v>26</v>
      </c>
      <c r="X89" s="287">
        <v>27</v>
      </c>
      <c r="Y89" s="287">
        <v>28</v>
      </c>
      <c r="Z89" s="287">
        <v>29</v>
      </c>
      <c r="AA89" s="287">
        <v>30</v>
      </c>
      <c r="AB89" s="287">
        <v>31</v>
      </c>
      <c r="AC89" s="287">
        <v>32</v>
      </c>
      <c r="AD89" s="287">
        <v>33</v>
      </c>
      <c r="AE89" s="287">
        <v>34</v>
      </c>
      <c r="AF89" s="287">
        <v>35</v>
      </c>
      <c r="AG89" s="287">
        <v>36</v>
      </c>
      <c r="AH89" s="287">
        <v>37</v>
      </c>
      <c r="AI89" s="287">
        <v>38</v>
      </c>
      <c r="AJ89" s="287">
        <v>39</v>
      </c>
      <c r="AK89" s="287">
        <v>40</v>
      </c>
      <c r="AL89" s="253" t="s"/>
      <c r="AM89" s="253" t="s"/>
      <c r="AN89" s="253" t="s"/>
      <c r="AO89" s="253" t="s"/>
      <c r="AP89" s="253" t="s"/>
      <c r="AQ89" s="253" t="s"/>
      <c r="AR89" s="253" t="s"/>
      <c r="AS89" s="253" t="s"/>
      <c r="AT89" s="253" t="s"/>
    </row>
    <row r="90" spans="1:46" ht="18" customHeight="1">
      <c r="A90" s="207" t="s"/>
      <c r="B90" s="260" t="s">
        <v>323</v>
      </c>
      <c r="C90" s="254" t="s">
        <v>288</v>
      </c>
      <c r="D90" s="297">
        <v>1</v>
      </c>
      <c r="E90" s="297">
        <v>0.9167</v>
      </c>
      <c r="F90" s="297">
        <v>0.8462</v>
      </c>
      <c r="G90" s="297">
        <v>0.7857</v>
      </c>
      <c r="H90" s="297">
        <v>0.7333</v>
      </c>
      <c r="I90" s="297">
        <v>0.6875</v>
      </c>
      <c r="J90" s="297">
        <v>0.6471</v>
      </c>
      <c r="K90" s="297">
        <v>0.6111</v>
      </c>
      <c r="L90" s="297">
        <v>0.5789</v>
      </c>
      <c r="M90" s="297">
        <v>0.55</v>
      </c>
      <c r="N90" s="297">
        <v>0.5238</v>
      </c>
      <c r="O90" s="297">
        <v>0.5</v>
      </c>
      <c r="P90" s="297">
        <v>0.4783</v>
      </c>
      <c r="Q90" s="297">
        <v>0.4583</v>
      </c>
      <c r="R90" s="297">
        <v>0.44</v>
      </c>
      <c r="S90" s="297">
        <v>0.4231</v>
      </c>
      <c r="T90" s="297">
        <v>0.4074</v>
      </c>
      <c r="U90" s="297">
        <v>0.3929</v>
      </c>
      <c r="V90" s="301" t="s"/>
      <c r="W90" s="253" t="s"/>
      <c r="X90" s="253" t="s"/>
      <c r="Y90" s="253" t="s"/>
      <c r="Z90" s="253" t="s"/>
      <c r="AA90" s="253" t="s"/>
      <c r="AB90" s="253" t="s"/>
      <c r="AC90" s="253" t="s"/>
      <c r="AD90" s="253" t="s"/>
      <c r="AE90" s="253" t="s"/>
      <c r="AF90" s="253" t="s"/>
      <c r="AG90" s="253" t="s"/>
      <c r="AH90" s="253" t="s"/>
      <c r="AI90" s="253" t="s"/>
      <c r="AJ90" s="253" t="s"/>
      <c r="AK90" s="253" t="s"/>
      <c r="AL90" s="253" t="s"/>
      <c r="AM90" s="253" t="s"/>
      <c r="AN90" s="253" t="s"/>
      <c r="AO90" s="253" t="s"/>
      <c r="AP90" s="253" t="s"/>
      <c r="AQ90" s="253" t="s"/>
      <c r="AR90" s="253" t="s"/>
      <c r="AS90" s="253" t="s"/>
      <c r="AT90" s="253" t="s"/>
    </row>
    <row r="91" spans="1:46" ht="18" customHeight="1">
      <c r="A91" s="207" t="s"/>
      <c r="B91" s="264" t="s"/>
      <c r="C91" s="254" t="s">
        <v>289</v>
      </c>
      <c r="D91" s="298">
        <v>1</v>
      </c>
      <c r="E91" s="298">
        <v>1.1</v>
      </c>
      <c r="F91" s="298">
        <v>1.2</v>
      </c>
      <c r="G91" s="298">
        <v>1.3</v>
      </c>
      <c r="H91" s="298">
        <v>1.4</v>
      </c>
      <c r="I91" s="298">
        <v>1.5</v>
      </c>
      <c r="J91" s="298">
        <v>1.6</v>
      </c>
      <c r="K91" s="298">
        <v>1.7</v>
      </c>
      <c r="L91" s="298">
        <v>1.8</v>
      </c>
      <c r="M91" s="298">
        <v>1.9</v>
      </c>
      <c r="N91" s="298">
        <v>2</v>
      </c>
      <c r="O91" s="298">
        <v>2.1</v>
      </c>
      <c r="P91" s="298">
        <v>2.2</v>
      </c>
      <c r="Q91" s="298">
        <v>2.3</v>
      </c>
      <c r="R91" s="298">
        <v>2.4</v>
      </c>
      <c r="S91" s="298">
        <v>2.5</v>
      </c>
      <c r="T91" s="298">
        <v>2.6</v>
      </c>
      <c r="U91" s="298">
        <v>2.7</v>
      </c>
      <c r="V91" s="301" t="s"/>
      <c r="W91" s="253" t="s"/>
      <c r="X91" s="253" t="s"/>
      <c r="Y91" s="253" t="s"/>
      <c r="Z91" s="253" t="s"/>
      <c r="AA91" s="253" t="s"/>
      <c r="AB91" s="253" t="s"/>
      <c r="AC91" s="253" t="s"/>
      <c r="AD91" s="253" t="s"/>
      <c r="AE91" s="253" t="s"/>
      <c r="AF91" s="253" t="s"/>
      <c r="AG91" s="253" t="s"/>
      <c r="AH91" s="253" t="s"/>
      <c r="AI91" s="253" t="s"/>
      <c r="AJ91" s="253" t="s"/>
      <c r="AK91" s="253" t="s"/>
      <c r="AL91" s="253" t="s"/>
      <c r="AM91" s="253" t="s"/>
      <c r="AN91" s="253" t="s"/>
      <c r="AO91" s="253" t="s"/>
      <c r="AP91" s="253" t="s"/>
      <c r="AQ91" s="253" t="s"/>
      <c r="AR91" s="253" t="s"/>
      <c r="AS91" s="253" t="s"/>
      <c r="AT91" s="253" t="s"/>
    </row>
    <row r="92" spans="1:46" ht="18" customHeight="1">
      <c r="A92" s="237" t="s"/>
      <c r="B92" s="264" t="s"/>
      <c r="C92" s="254" t="s">
        <v>290</v>
      </c>
      <c r="D92" s="300">
        <v>11</v>
      </c>
      <c r="E92" s="300">
        <v>12</v>
      </c>
      <c r="F92" s="300">
        <v>13</v>
      </c>
      <c r="G92" s="300">
        <v>14</v>
      </c>
      <c r="H92" s="300">
        <v>15</v>
      </c>
      <c r="I92" s="300">
        <v>16</v>
      </c>
      <c r="J92" s="300">
        <v>17</v>
      </c>
      <c r="K92" s="300">
        <v>18</v>
      </c>
      <c r="L92" s="300">
        <v>19</v>
      </c>
      <c r="M92" s="300">
        <v>20</v>
      </c>
      <c r="N92" s="300">
        <v>21</v>
      </c>
      <c r="O92" s="300">
        <v>22</v>
      </c>
      <c r="P92" s="300">
        <v>23</v>
      </c>
      <c r="Q92" s="300">
        <v>24</v>
      </c>
      <c r="R92" s="300">
        <v>25</v>
      </c>
      <c r="S92" s="300">
        <v>26</v>
      </c>
      <c r="T92" s="300">
        <v>27</v>
      </c>
      <c r="U92" s="300">
        <v>28</v>
      </c>
      <c r="V92" s="301" t="s"/>
      <c r="W92" s="253" t="s"/>
      <c r="X92" s="253" t="s"/>
      <c r="Y92" s="253" t="s"/>
      <c r="Z92" s="253" t="s"/>
      <c r="AA92" s="253" t="s"/>
      <c r="AB92" s="253" t="s"/>
      <c r="AC92" s="253" t="s"/>
      <c r="AD92" s="253" t="s"/>
      <c r="AE92" s="253" t="s"/>
      <c r="AF92" s="253" t="s"/>
      <c r="AG92" s="253" t="s"/>
      <c r="AH92" s="253" t="s"/>
      <c r="AI92" s="253" t="s"/>
      <c r="AJ92" s="253" t="s"/>
      <c r="AK92" s="253" t="s"/>
      <c r="AL92" s="253" t="s"/>
      <c r="AM92" s="253" t="s"/>
      <c r="AN92" s="253" t="s"/>
      <c r="AO92" s="253" t="s"/>
      <c r="AP92" s="253" t="s"/>
      <c r="AQ92" s="253" t="s"/>
      <c r="AR92" s="253" t="s"/>
      <c r="AS92" s="253" t="s"/>
      <c r="AT92" s="253" t="s"/>
    </row>
    <row r="93" spans="1:46" ht="18" customHeight="1">
      <c r="A93" s="302" t="s">
        <v>324</v>
      </c>
      <c r="B93" s="217" t="s">
        <v>325</v>
      </c>
      <c r="C93" s="218" t="s">
        <v>288</v>
      </c>
      <c r="D93" s="229">
        <v>1</v>
      </c>
      <c r="E93" s="229">
        <f>=3/E95</f>
        <v>0.75</v>
      </c>
      <c r="F93" s="229">
        <f>=3/F95</f>
        <v>0.6</v>
      </c>
      <c r="G93" s="229">
        <f>=3/G95</f>
        <v>0.5</v>
      </c>
      <c r="H93" s="229">
        <f>=3/H95</f>
        <v>0.428571428571429</v>
      </c>
      <c r="I93" s="223">
        <f>=3/I95</f>
        <v>0.375</v>
      </c>
      <c r="J93" s="223">
        <f>=3/J95</f>
        <v>0.333333333333333</v>
      </c>
      <c r="K93" s="223">
        <f>=3/K95</f>
        <v>0.3</v>
      </c>
      <c r="L93" s="223">
        <f>=3/L95</f>
        <v>0.272727272727273</v>
      </c>
      <c r="M93" s="223">
        <f>=3/M95</f>
        <v>0.25</v>
      </c>
      <c r="N93" s="303" t="s"/>
      <c r="O93" s="304" t="s"/>
      <c r="P93" s="305" t="s"/>
      <c r="Q93" s="305" t="s"/>
      <c r="R93" s="305" t="s"/>
      <c r="S93" s="305" t="s"/>
      <c r="T93" s="305" t="s"/>
      <c r="U93" s="305" t="s"/>
      <c r="V93" s="305" t="s"/>
      <c r="W93" s="225" t="s"/>
      <c r="X93" s="225" t="s"/>
      <c r="Y93" s="225" t="s"/>
      <c r="Z93" s="225" t="s"/>
      <c r="AA93" s="225" t="s"/>
      <c r="AB93" s="225" t="s"/>
      <c r="AC93" s="225" t="s"/>
      <c r="AD93" s="225" t="s"/>
      <c r="AE93" s="225" t="s"/>
      <c r="AF93" s="225" t="s"/>
      <c r="AG93" s="225" t="s"/>
      <c r="AH93" s="225" t="s"/>
      <c r="AI93" s="225" t="s"/>
      <c r="AJ93" s="225" t="s"/>
      <c r="AK93" s="225" t="s"/>
      <c r="AL93" s="225" t="s"/>
      <c r="AM93" s="225" t="s"/>
      <c r="AN93" s="225" t="s"/>
      <c r="AO93" s="225" t="s"/>
      <c r="AP93" s="225" t="s"/>
      <c r="AQ93" s="225" t="s"/>
      <c r="AR93" s="225" t="s"/>
      <c r="AS93" s="225" t="s"/>
      <c r="AT93" s="225" t="s"/>
    </row>
    <row r="94" spans="1:46" ht="18" customHeight="1">
      <c r="A94" s="37" t="s"/>
      <c r="B94" s="215" t="s"/>
      <c r="C94" s="218" t="s">
        <v>289</v>
      </c>
      <c r="D94" s="233">
        <v>1.15</v>
      </c>
      <c r="E94" s="233">
        <f>=D94/(D95-1)*(E95-1)</f>
        <v>1.725</v>
      </c>
      <c r="F94" s="233">
        <f>=E94/(E95-1)*(F95-1)</f>
        <v>2.3</v>
      </c>
      <c r="G94" s="233">
        <f>=F94/(F95-1)*(G95-1)</f>
        <v>2.875</v>
      </c>
      <c r="H94" s="233">
        <f>=G94/(G95-1)*(H95-1)</f>
        <v>3.45</v>
      </c>
      <c r="I94" s="210">
        <f>=H94/(H95-1)*(I95-1)</f>
        <v>4.025</v>
      </c>
      <c r="J94" s="210">
        <f>=I94/(I95-1)*(J95-1)</f>
        <v>4.6</v>
      </c>
      <c r="K94" s="210">
        <f>=J94/(J95-1)*(K95-1)</f>
        <v>5.175</v>
      </c>
      <c r="L94" s="210">
        <f>=K94/(K95-1)*(L95-1)</f>
        <v>5.75</v>
      </c>
      <c r="M94" s="210">
        <f>=L94/(L95-1)*(M95-1)</f>
        <v>6.325</v>
      </c>
      <c r="N94" s="303" t="s"/>
      <c r="O94" s="304" t="s"/>
      <c r="P94" s="305" t="s"/>
      <c r="Q94" s="305" t="s"/>
      <c r="R94" s="305" t="s"/>
      <c r="S94" s="305" t="s"/>
      <c r="T94" s="305" t="s"/>
      <c r="U94" s="305" t="s"/>
      <c r="V94" s="305" t="s"/>
      <c r="W94" s="225" t="s"/>
      <c r="X94" s="225" t="s"/>
      <c r="Y94" s="225" t="s"/>
      <c r="Z94" s="225" t="s"/>
      <c r="AA94" s="225" t="s"/>
      <c r="AB94" s="225" t="s"/>
      <c r="AC94" s="225" t="s"/>
      <c r="AD94" s="225" t="s"/>
      <c r="AE94" s="225" t="s"/>
      <c r="AF94" s="225" t="s"/>
      <c r="AG94" s="225" t="s"/>
      <c r="AH94" s="225" t="s"/>
      <c r="AI94" s="225" t="s"/>
      <c r="AJ94" s="225" t="s"/>
      <c r="AK94" s="225" t="s"/>
      <c r="AL94" s="225" t="s"/>
      <c r="AM94" s="225" t="s"/>
      <c r="AN94" s="225" t="s"/>
      <c r="AO94" s="225" t="s"/>
      <c r="AP94" s="225" t="s"/>
      <c r="AQ94" s="225" t="s"/>
      <c r="AR94" s="225" t="s"/>
      <c r="AS94" s="225" t="s"/>
      <c r="AT94" s="225" t="s"/>
    </row>
    <row r="95" spans="1:46" ht="18" customHeight="1">
      <c r="A95" s="37" t="s"/>
      <c r="B95" s="215" t="s"/>
      <c r="C95" s="218" t="s">
        <v>290</v>
      </c>
      <c r="D95" s="218">
        <v>3</v>
      </c>
      <c r="E95" s="218">
        <v>4</v>
      </c>
      <c r="F95" s="218">
        <v>5</v>
      </c>
      <c r="G95" s="218">
        <v>6</v>
      </c>
      <c r="H95" s="218">
        <v>7</v>
      </c>
      <c r="I95" s="209">
        <v>8</v>
      </c>
      <c r="J95" s="209">
        <v>9</v>
      </c>
      <c r="K95" s="209">
        <v>10</v>
      </c>
      <c r="L95" s="209">
        <v>11</v>
      </c>
      <c r="M95" s="209">
        <v>12</v>
      </c>
      <c r="N95" s="303" t="s"/>
      <c r="O95" s="304" t="s"/>
      <c r="P95" s="305" t="s"/>
      <c r="Q95" s="305" t="s"/>
      <c r="R95" s="305" t="s"/>
      <c r="S95" s="305" t="s"/>
      <c r="T95" s="305" t="s"/>
      <c r="U95" s="305" t="s"/>
      <c r="V95" s="305" t="s"/>
      <c r="W95" s="225" t="s"/>
      <c r="X95" s="225" t="s"/>
      <c r="Y95" s="225" t="s"/>
      <c r="Z95" s="225" t="s"/>
      <c r="AA95" s="225" t="s"/>
      <c r="AB95" s="225" t="s"/>
      <c r="AC95" s="225" t="s"/>
      <c r="AD95" s="225" t="s"/>
      <c r="AE95" s="225" t="s"/>
      <c r="AF95" s="225" t="s"/>
      <c r="AG95" s="225" t="s"/>
      <c r="AH95" s="225" t="s"/>
      <c r="AI95" s="225" t="s"/>
      <c r="AJ95" s="225" t="s"/>
      <c r="AK95" s="225" t="s"/>
      <c r="AL95" s="225" t="s"/>
      <c r="AM95" s="225" t="s"/>
      <c r="AN95" s="225" t="s"/>
      <c r="AO95" s="225" t="s"/>
      <c r="AP95" s="225" t="s"/>
      <c r="AQ95" s="225" t="s"/>
      <c r="AR95" s="225" t="s"/>
      <c r="AS95" s="225" t="s"/>
      <c r="AT95" s="225" t="s"/>
    </row>
    <row r="96" spans="1:46" ht="18" customHeight="1">
      <c r="A96" s="37" t="s"/>
      <c r="B96" s="217" t="s">
        <v>326</v>
      </c>
      <c r="C96" s="218" t="s">
        <v>288</v>
      </c>
      <c r="D96" s="229">
        <v>1</v>
      </c>
      <c r="E96" s="229">
        <f>=6/E98</f>
        <v>0.857142857142857</v>
      </c>
      <c r="F96" s="229">
        <f>=6/F98</f>
        <v>0.75</v>
      </c>
      <c r="G96" s="229">
        <f>=6/G98</f>
        <v>0.666666666666667</v>
      </c>
      <c r="H96" s="229">
        <f>=6/H98</f>
        <v>0.6</v>
      </c>
      <c r="I96" s="223">
        <f>=6/I98</f>
        <v>0.545454545454546</v>
      </c>
      <c r="J96" s="223">
        <f>=6/J98</f>
        <v>0.5</v>
      </c>
      <c r="K96" s="223">
        <f>=6/K98</f>
        <v>0.461538461538462</v>
      </c>
      <c r="L96" s="223">
        <f>=6/L98</f>
        <v>0.428571428571429</v>
      </c>
      <c r="M96" s="223">
        <f>=6/M98</f>
        <v>0.4</v>
      </c>
      <c r="N96" s="223">
        <f>=6/N98</f>
        <v>0.375</v>
      </c>
      <c r="O96" s="223">
        <f>=6/O98</f>
        <v>0.352941176470588</v>
      </c>
      <c r="P96" s="223">
        <f>=6/P98</f>
        <v>0.333333333333333</v>
      </c>
      <c r="Q96" s="223">
        <f>=6/Q98</f>
        <v>0.315789473684211</v>
      </c>
      <c r="R96" s="223">
        <f>=6/R98</f>
        <v>0.3</v>
      </c>
      <c r="S96" s="305" t="s"/>
      <c r="T96" s="305" t="s"/>
      <c r="U96" s="305" t="s"/>
      <c r="V96" s="305" t="s"/>
      <c r="W96" s="225" t="s"/>
      <c r="X96" s="225" t="s"/>
      <c r="Y96" s="225" t="s"/>
      <c r="Z96" s="225" t="s"/>
      <c r="AA96" s="225" t="s"/>
      <c r="AB96" s="225" t="s"/>
      <c r="AC96" s="225" t="s"/>
      <c r="AD96" s="225" t="s"/>
      <c r="AE96" s="225" t="s"/>
      <c r="AF96" s="225" t="s"/>
      <c r="AG96" s="225" t="s"/>
      <c r="AH96" s="225" t="s"/>
      <c r="AI96" s="225" t="s"/>
      <c r="AJ96" s="225" t="s"/>
      <c r="AK96" s="225" t="s"/>
      <c r="AL96" s="225" t="s"/>
      <c r="AM96" s="225" t="s"/>
      <c r="AN96" s="225" t="s"/>
      <c r="AO96" s="225" t="s"/>
      <c r="AP96" s="225" t="s"/>
      <c r="AQ96" s="225" t="s"/>
      <c r="AR96" s="225" t="s"/>
      <c r="AS96" s="225" t="s"/>
      <c r="AT96" s="225" t="s"/>
    </row>
    <row r="97" spans="1:46" ht="18" customHeight="1">
      <c r="A97" s="37" t="s"/>
      <c r="B97" s="215" t="s"/>
      <c r="C97" s="218" t="s">
        <v>289</v>
      </c>
      <c r="D97" s="233">
        <v>1.15</v>
      </c>
      <c r="E97" s="233">
        <f>=D97/(D98-1)*(E98-1)</f>
        <v>1.38</v>
      </c>
      <c r="F97" s="233">
        <f>=E97/(E98-1)*(F98-1)</f>
        <v>1.61</v>
      </c>
      <c r="G97" s="233">
        <f>=F97/(F98-1)*(G98-1)</f>
        <v>1.84</v>
      </c>
      <c r="H97" s="233">
        <f>=G97/(G98-1)*(H98-1)</f>
        <v>2.07</v>
      </c>
      <c r="I97" s="210">
        <f>=H97/(H98-1)*(I98-1)</f>
        <v>2.3</v>
      </c>
      <c r="J97" s="210">
        <f>=I97/(I98-1)*(J98-1)</f>
        <v>2.53</v>
      </c>
      <c r="K97" s="210">
        <f>=J97/(J98-1)*(K98-1)</f>
        <v>2.76</v>
      </c>
      <c r="L97" s="210">
        <f>=K97/(K98-1)*(L98-1)</f>
        <v>2.99</v>
      </c>
      <c r="M97" s="210">
        <f>=L97/(L98-1)*(M98-1)</f>
        <v>3.22</v>
      </c>
      <c r="N97" s="210">
        <f>=M97/(M98-1)*(N98-1)</f>
        <v>3.45</v>
      </c>
      <c r="O97" s="210">
        <f>=N97/(N98-1)*(O98-1)</f>
        <v>3.68</v>
      </c>
      <c r="P97" s="210">
        <f>=O97/(O98-1)*(P98-1)</f>
        <v>3.91</v>
      </c>
      <c r="Q97" s="210">
        <f>=P97/(P98-1)*(Q98-1)</f>
        <v>4.14</v>
      </c>
      <c r="R97" s="210">
        <f>=Q97/(Q98-1)*(R98-1)</f>
        <v>4.37</v>
      </c>
      <c r="S97" s="305" t="s"/>
      <c r="T97" s="305" t="s"/>
      <c r="U97" s="305" t="s"/>
      <c r="V97" s="305" t="s"/>
      <c r="W97" s="225" t="s"/>
      <c r="X97" s="225" t="s"/>
      <c r="Y97" s="225" t="s"/>
      <c r="Z97" s="225" t="s"/>
      <c r="AA97" s="225" t="s"/>
      <c r="AB97" s="225" t="s"/>
      <c r="AC97" s="225" t="s"/>
      <c r="AD97" s="225" t="s"/>
      <c r="AE97" s="225" t="s"/>
      <c r="AF97" s="225" t="s"/>
      <c r="AG97" s="225" t="s"/>
      <c r="AH97" s="225" t="s"/>
      <c r="AI97" s="225" t="s"/>
      <c r="AJ97" s="225" t="s"/>
      <c r="AK97" s="225" t="s"/>
      <c r="AL97" s="225" t="s"/>
      <c r="AM97" s="225" t="s"/>
      <c r="AN97" s="225" t="s"/>
      <c r="AO97" s="225" t="s"/>
      <c r="AP97" s="225" t="s"/>
      <c r="AQ97" s="225" t="s"/>
      <c r="AR97" s="225" t="s"/>
      <c r="AS97" s="225" t="s"/>
      <c r="AT97" s="225" t="s"/>
    </row>
    <row r="98" spans="1:46" ht="18" customHeight="1">
      <c r="A98" s="37" t="s"/>
      <c r="B98" s="215" t="s"/>
      <c r="C98" s="218" t="s">
        <v>290</v>
      </c>
      <c r="D98" s="218">
        <v>6</v>
      </c>
      <c r="E98" s="218">
        <v>7</v>
      </c>
      <c r="F98" s="218">
        <v>8</v>
      </c>
      <c r="G98" s="218">
        <v>9</v>
      </c>
      <c r="H98" s="218">
        <v>10</v>
      </c>
      <c r="I98" s="209">
        <v>11</v>
      </c>
      <c r="J98" s="209">
        <v>12</v>
      </c>
      <c r="K98" s="209">
        <v>13</v>
      </c>
      <c r="L98" s="209">
        <v>14</v>
      </c>
      <c r="M98" s="209">
        <v>15</v>
      </c>
      <c r="N98" s="209">
        <v>16</v>
      </c>
      <c r="O98" s="209">
        <v>17</v>
      </c>
      <c r="P98" s="209">
        <v>18</v>
      </c>
      <c r="Q98" s="209">
        <v>19</v>
      </c>
      <c r="R98" s="209">
        <v>20</v>
      </c>
      <c r="S98" s="305" t="s"/>
      <c r="T98" s="305" t="s"/>
      <c r="U98" s="305" t="s"/>
      <c r="V98" s="305" t="s"/>
      <c r="W98" s="225" t="s"/>
      <c r="X98" s="225" t="s"/>
      <c r="Y98" s="225" t="s"/>
      <c r="Z98" s="225" t="s"/>
      <c r="AA98" s="225" t="s"/>
      <c r="AB98" s="225" t="s"/>
      <c r="AC98" s="225" t="s"/>
      <c r="AD98" s="225" t="s"/>
      <c r="AE98" s="225" t="s"/>
      <c r="AF98" s="225" t="s"/>
      <c r="AG98" s="225" t="s"/>
      <c r="AH98" s="225" t="s"/>
      <c r="AI98" s="225" t="s"/>
      <c r="AJ98" s="225" t="s"/>
      <c r="AK98" s="225" t="s"/>
      <c r="AL98" s="225" t="s"/>
      <c r="AM98" s="225" t="s"/>
      <c r="AN98" s="225" t="s"/>
      <c r="AO98" s="225" t="s"/>
      <c r="AP98" s="225" t="s"/>
      <c r="AQ98" s="225" t="s"/>
      <c r="AR98" s="225" t="s"/>
      <c r="AS98" s="225" t="s"/>
      <c r="AT98" s="225" t="s"/>
    </row>
    <row r="99" spans="1:46" ht="18" customHeight="1">
      <c r="A99" s="37" t="s"/>
      <c r="B99" s="217" t="s">
        <v>327</v>
      </c>
      <c r="C99" s="218" t="s">
        <v>288</v>
      </c>
      <c r="D99" s="229">
        <v>1</v>
      </c>
      <c r="E99" s="229">
        <f>=5/E101</f>
        <v>0.833333333333334</v>
      </c>
      <c r="F99" s="229">
        <f>=5/F101</f>
        <v>0.714285714285714</v>
      </c>
      <c r="G99" s="229">
        <f>=5/G101</f>
        <v>0.625</v>
      </c>
      <c r="H99" s="229">
        <f>=5/H101</f>
        <v>0.555555555555556</v>
      </c>
      <c r="I99" s="223">
        <f>=5/I101</f>
        <v>0.5</v>
      </c>
      <c r="J99" s="305" t="s"/>
      <c r="K99" s="303" t="s"/>
      <c r="L99" s="303" t="s"/>
      <c r="M99" s="303" t="s"/>
      <c r="N99" s="303" t="s"/>
      <c r="O99" s="304" t="s"/>
      <c r="P99" s="305" t="s"/>
      <c r="Q99" s="305" t="s"/>
      <c r="R99" s="305" t="s"/>
      <c r="S99" s="305" t="s"/>
      <c r="T99" s="305" t="s"/>
      <c r="U99" s="305" t="s"/>
      <c r="V99" s="224" t="s"/>
      <c r="W99" s="225" t="s"/>
      <c r="X99" s="225" t="s"/>
      <c r="Y99" s="225" t="s"/>
      <c r="Z99" s="225" t="s"/>
      <c r="AA99" s="225" t="s"/>
      <c r="AB99" s="225" t="s"/>
      <c r="AC99" s="225" t="s"/>
      <c r="AD99" s="225" t="s"/>
      <c r="AE99" s="225" t="s"/>
      <c r="AF99" s="225" t="s"/>
      <c r="AG99" s="225" t="s"/>
      <c r="AH99" s="225" t="s"/>
      <c r="AI99" s="225" t="s"/>
      <c r="AJ99" s="225" t="s"/>
      <c r="AK99" s="225" t="s"/>
      <c r="AL99" s="225" t="s"/>
      <c r="AM99" s="225" t="s"/>
      <c r="AN99" s="225" t="s"/>
      <c r="AO99" s="225" t="s"/>
      <c r="AP99" s="225" t="s"/>
      <c r="AQ99" s="225" t="s"/>
      <c r="AR99" s="225" t="s"/>
      <c r="AS99" s="225" t="s"/>
      <c r="AT99" s="225" t="s"/>
    </row>
    <row r="100" spans="1:46" ht="18" customHeight="1">
      <c r="A100" s="37" t="s"/>
      <c r="B100" s="215" t="s"/>
      <c r="C100" s="218" t="s">
        <v>289</v>
      </c>
      <c r="D100" s="233">
        <v>1.72</v>
      </c>
      <c r="E100" s="233">
        <f>=D100/(D101-1)*(E101-1)</f>
        <v>2.15</v>
      </c>
      <c r="F100" s="233">
        <f>=E100/(E101-1)*(F101-1)</f>
        <v>2.58</v>
      </c>
      <c r="G100" s="233">
        <f>=F100/(F101-1)*(G101-1)</f>
        <v>3.01</v>
      </c>
      <c r="H100" s="233">
        <f>=G100/(G101-1)*(H101-1)</f>
        <v>3.44</v>
      </c>
      <c r="I100" s="210">
        <f>=H100/(H101-1)*(I101-1)</f>
        <v>3.87</v>
      </c>
      <c r="J100" s="305" t="s"/>
      <c r="K100" s="303" t="s"/>
      <c r="L100" s="303" t="s"/>
      <c r="M100" s="303" t="s"/>
      <c r="N100" s="303" t="s"/>
      <c r="O100" s="304" t="s"/>
      <c r="P100" s="305" t="s"/>
      <c r="Q100" s="305" t="s"/>
      <c r="R100" s="305" t="s"/>
      <c r="S100" s="305" t="s"/>
      <c r="T100" s="305" t="s"/>
      <c r="U100" s="305" t="s"/>
      <c r="V100" s="224" t="s"/>
      <c r="W100" s="225" t="s"/>
      <c r="X100" s="225" t="s"/>
      <c r="Y100" s="225" t="s"/>
      <c r="Z100" s="225" t="s"/>
      <c r="AA100" s="225" t="s"/>
      <c r="AB100" s="225" t="s"/>
      <c r="AC100" s="225" t="s"/>
      <c r="AD100" s="225" t="s"/>
      <c r="AE100" s="225" t="s"/>
      <c r="AF100" s="225" t="s"/>
      <c r="AG100" s="225" t="s"/>
      <c r="AH100" s="225" t="s"/>
      <c r="AI100" s="225" t="s"/>
      <c r="AJ100" s="225" t="s"/>
      <c r="AK100" s="225" t="s"/>
      <c r="AL100" s="225" t="s"/>
      <c r="AM100" s="225" t="s"/>
      <c r="AN100" s="225" t="s"/>
      <c r="AO100" s="225" t="s"/>
      <c r="AP100" s="225" t="s"/>
      <c r="AQ100" s="225" t="s"/>
      <c r="AR100" s="225" t="s"/>
      <c r="AS100" s="225" t="s"/>
      <c r="AT100" s="225" t="s"/>
    </row>
    <row r="101" spans="1:46" ht="18" customHeight="1">
      <c r="A101" s="37" t="s"/>
      <c r="B101" s="215" t="s"/>
      <c r="C101" s="218" t="s">
        <v>290</v>
      </c>
      <c r="D101" s="218">
        <v>5</v>
      </c>
      <c r="E101" s="218">
        <v>6</v>
      </c>
      <c r="F101" s="218">
        <v>7</v>
      </c>
      <c r="G101" s="218">
        <v>8</v>
      </c>
      <c r="H101" s="218">
        <v>9</v>
      </c>
      <c r="I101" s="209">
        <v>10</v>
      </c>
      <c r="J101" s="305" t="s"/>
      <c r="K101" s="303" t="s"/>
      <c r="L101" s="303" t="s"/>
      <c r="M101" s="303" t="s"/>
      <c r="N101" s="303" t="s"/>
      <c r="O101" s="304" t="s"/>
      <c r="P101" s="305" t="s"/>
      <c r="Q101" s="305" t="s"/>
      <c r="R101" s="305" t="s"/>
      <c r="S101" s="305" t="s"/>
      <c r="T101" s="305" t="s"/>
      <c r="U101" s="305" t="s"/>
      <c r="V101" s="224" t="s"/>
      <c r="W101" s="225" t="s"/>
      <c r="X101" s="225" t="s"/>
      <c r="Y101" s="225" t="s"/>
      <c r="Z101" s="225" t="s"/>
      <c r="AA101" s="225" t="s"/>
      <c r="AB101" s="225" t="s"/>
      <c r="AC101" s="225" t="s"/>
      <c r="AD101" s="225" t="s"/>
      <c r="AE101" s="225" t="s"/>
      <c r="AF101" s="225" t="s"/>
      <c r="AG101" s="225" t="s"/>
      <c r="AH101" s="225" t="s"/>
      <c r="AI101" s="225" t="s"/>
      <c r="AJ101" s="225" t="s"/>
      <c r="AK101" s="225" t="s"/>
      <c r="AL101" s="225" t="s"/>
      <c r="AM101" s="225" t="s"/>
      <c r="AN101" s="225" t="s"/>
      <c r="AO101" s="225" t="s"/>
      <c r="AP101" s="225" t="s"/>
      <c r="AQ101" s="225" t="s"/>
      <c r="AR101" s="225" t="s"/>
      <c r="AS101" s="225" t="s"/>
      <c r="AT101" s="225" t="s"/>
    </row>
    <row r="102" spans="1:46" ht="18" customHeight="1">
      <c r="A102" s="37" t="s"/>
      <c r="B102" s="217" t="s">
        <v>328</v>
      </c>
      <c r="C102" s="218" t="s">
        <v>288</v>
      </c>
      <c r="D102" s="229">
        <v>1</v>
      </c>
      <c r="E102" s="229">
        <f>=4/E104</f>
        <v>0.8</v>
      </c>
      <c r="F102" s="229">
        <f>=4/F104</f>
        <v>0.666666666666667</v>
      </c>
      <c r="G102" s="229">
        <f>=4/G104</f>
        <v>0.571428571428572</v>
      </c>
      <c r="H102" s="229">
        <f>=4/H104</f>
        <v>0.5</v>
      </c>
      <c r="I102" s="223">
        <f>=4/I104</f>
        <v>0.444444444444445</v>
      </c>
      <c r="J102" s="223">
        <f>=4/J104</f>
        <v>0.4</v>
      </c>
      <c r="K102" s="223">
        <f>=4/K104</f>
        <v>0.363636363636364</v>
      </c>
      <c r="L102" s="223">
        <f>=4/L104</f>
        <v>0.333333333333333</v>
      </c>
      <c r="M102" s="223">
        <f>=4/M104</f>
        <v>0.307692307692308</v>
      </c>
      <c r="N102" s="223">
        <f>=4/N104</f>
        <v>0.285714285714286</v>
      </c>
      <c r="O102" s="223">
        <f>=4/O104</f>
        <v>0.266666666666667</v>
      </c>
      <c r="P102" s="223">
        <f>=4/P104</f>
        <v>0.25</v>
      </c>
      <c r="Q102" s="223">
        <f>=4/Q104</f>
        <v>0.235294117647059</v>
      </c>
      <c r="R102" s="223">
        <f>=4/R104</f>
        <v>0.222222222222222</v>
      </c>
      <c r="S102" s="223">
        <f>=4/S104</f>
        <v>0.210526315789474</v>
      </c>
      <c r="T102" s="223">
        <f>=4/T104</f>
        <v>0.2</v>
      </c>
      <c r="U102" s="223">
        <f>=4/U104</f>
        <v>0.190476190476191</v>
      </c>
      <c r="V102" s="223">
        <f>=4/V104</f>
        <v>0.181818181818182</v>
      </c>
      <c r="W102" s="223">
        <f>=4/W104</f>
        <v>0.173913043478261</v>
      </c>
      <c r="X102" s="223">
        <f>=4/X104</f>
        <v>0.166666666666667</v>
      </c>
      <c r="Y102" s="223">
        <f>=4/Y104</f>
        <v>0.16</v>
      </c>
      <c r="Z102" s="223">
        <f>=4/Z104</f>
        <v>0.153846153846154</v>
      </c>
      <c r="AA102" s="306" t="s"/>
      <c r="AB102" s="306" t="s"/>
      <c r="AC102" s="306" t="s"/>
      <c r="AD102" s="306" t="s"/>
      <c r="AE102" s="306" t="s"/>
      <c r="AF102" s="306" t="s"/>
      <c r="AG102" s="306" t="s"/>
      <c r="AH102" s="306" t="s"/>
      <c r="AI102" s="306" t="s"/>
      <c r="AJ102" s="306" t="s"/>
      <c r="AK102" s="306" t="s"/>
      <c r="AL102" s="306" t="s"/>
      <c r="AM102" s="306" t="s"/>
      <c r="AN102" s="306" t="s"/>
      <c r="AO102" s="306" t="s"/>
      <c r="AP102" s="306" t="s"/>
      <c r="AQ102" s="306" t="s"/>
      <c r="AR102" s="306" t="s"/>
      <c r="AS102" s="306" t="s"/>
      <c r="AT102" s="306" t="s"/>
    </row>
    <row r="103" spans="1:46" ht="18" customHeight="1">
      <c r="A103" s="37" t="s"/>
      <c r="B103" s="215" t="s"/>
      <c r="C103" s="218" t="s">
        <v>289</v>
      </c>
      <c r="D103" s="233">
        <v>2.52</v>
      </c>
      <c r="E103" s="233">
        <f>=D103/(D104-1)*(E104-1)</f>
        <v>3.36</v>
      </c>
      <c r="F103" s="233">
        <f>=E103/(E104-1)*(F104-1)</f>
        <v>4.2</v>
      </c>
      <c r="G103" s="233">
        <f>=F103/(F104-1)*(G104-1)</f>
        <v>5.04</v>
      </c>
      <c r="H103" s="233">
        <f>=G103/(G104-1)*(H104-1)</f>
        <v>5.88</v>
      </c>
      <c r="I103" s="210">
        <f>=H103/(H104-1)*(I104-1)</f>
        <v>6.72</v>
      </c>
      <c r="J103" s="210">
        <f>=I103/(I104-1)*(J104-1)</f>
        <v>7.56</v>
      </c>
      <c r="K103" s="210">
        <f>=J103/(J104-1)*(K104-1)</f>
        <v>8.4</v>
      </c>
      <c r="L103" s="210">
        <f>=K103/(K104-1)*(L104-1)</f>
        <v>9.24</v>
      </c>
      <c r="M103" s="210">
        <f>=L103/(L104-1)*(M104-1)</f>
        <v>10.08</v>
      </c>
      <c r="N103" s="210">
        <f>=M103/(M104-1)*(N104-1)</f>
        <v>10.92</v>
      </c>
      <c r="O103" s="210">
        <f>=N103/(N104-1)*(O104-1)</f>
        <v>11.76</v>
      </c>
      <c r="P103" s="210">
        <f>=O103/(O104-1)*(P104-1)</f>
        <v>12.6</v>
      </c>
      <c r="Q103" s="210">
        <f>=P103/(P104-1)*(Q104-1)</f>
        <v>13.44</v>
      </c>
      <c r="R103" s="210">
        <f>=Q103/(Q104-1)*(R104-1)</f>
        <v>14.28</v>
      </c>
      <c r="S103" s="210">
        <f>=R103/(R104-1)*(S104-1)</f>
        <v>15.12</v>
      </c>
      <c r="T103" s="210">
        <f>=S103/(S104-1)*(T104-1)</f>
        <v>15.96</v>
      </c>
      <c r="U103" s="210">
        <f>=T103/(T104-1)*(U104-1)</f>
        <v>16.8</v>
      </c>
      <c r="V103" s="210">
        <f>=U103/(U104-1)*(V104-1)</f>
        <v>17.64</v>
      </c>
      <c r="W103" s="210">
        <f>=V103/(V104-1)*(W104-1)</f>
        <v>18.48</v>
      </c>
      <c r="X103" s="210">
        <f>=W103/(W104-1)*(X104-1)</f>
        <v>19.32</v>
      </c>
      <c r="Y103" s="210">
        <f>=X103/(X104-1)*(Y104-1)</f>
        <v>20.16</v>
      </c>
      <c r="Z103" s="210">
        <f>=Y103/(Y104-1)*(Z104-1)</f>
        <v>21</v>
      </c>
      <c r="AA103" s="299" t="s"/>
      <c r="AB103" s="299" t="s"/>
      <c r="AC103" s="299" t="s"/>
      <c r="AD103" s="299" t="s"/>
      <c r="AE103" s="299" t="s"/>
      <c r="AF103" s="299" t="s"/>
      <c r="AG103" s="299" t="s"/>
      <c r="AH103" s="299" t="s"/>
      <c r="AI103" s="299" t="s"/>
      <c r="AJ103" s="299" t="s"/>
      <c r="AK103" s="299" t="s"/>
      <c r="AL103" s="299" t="s"/>
      <c r="AM103" s="299" t="s"/>
      <c r="AN103" s="299" t="s"/>
      <c r="AO103" s="299" t="s"/>
      <c r="AP103" s="299" t="s"/>
      <c r="AQ103" s="299" t="s"/>
      <c r="AR103" s="299" t="s"/>
      <c r="AS103" s="299" t="s"/>
      <c r="AT103" s="299" t="s"/>
    </row>
    <row r="104" spans="1:46" ht="18" customHeight="1">
      <c r="A104" s="37" t="s"/>
      <c r="B104" s="215" t="s"/>
      <c r="C104" s="218" t="s">
        <v>290</v>
      </c>
      <c r="D104" s="218">
        <v>4</v>
      </c>
      <c r="E104" s="218">
        <v>5</v>
      </c>
      <c r="F104" s="218">
        <v>6</v>
      </c>
      <c r="G104" s="218">
        <v>7</v>
      </c>
      <c r="H104" s="218">
        <v>8</v>
      </c>
      <c r="I104" s="209">
        <v>9</v>
      </c>
      <c r="J104" s="209">
        <v>10</v>
      </c>
      <c r="K104" s="209">
        <v>11</v>
      </c>
      <c r="L104" s="209">
        <v>12</v>
      </c>
      <c r="M104" s="209">
        <v>13</v>
      </c>
      <c r="N104" s="209">
        <v>14</v>
      </c>
      <c r="O104" s="209">
        <v>15</v>
      </c>
      <c r="P104" s="209">
        <v>16</v>
      </c>
      <c r="Q104" s="209">
        <v>17</v>
      </c>
      <c r="R104" s="209">
        <v>18</v>
      </c>
      <c r="S104" s="209">
        <v>19</v>
      </c>
      <c r="T104" s="209">
        <v>20</v>
      </c>
      <c r="U104" s="209">
        <v>21</v>
      </c>
      <c r="V104" s="209">
        <v>22</v>
      </c>
      <c r="W104" s="209">
        <v>23</v>
      </c>
      <c r="X104" s="209">
        <v>24</v>
      </c>
      <c r="Y104" s="209">
        <v>25</v>
      </c>
      <c r="Z104" s="209">
        <v>26</v>
      </c>
      <c r="AA104" s="225" t="s"/>
      <c r="AB104" s="225" t="s"/>
      <c r="AC104" s="225" t="s"/>
      <c r="AD104" s="225" t="s"/>
      <c r="AE104" s="225" t="s"/>
      <c r="AF104" s="225" t="s"/>
      <c r="AG104" s="225" t="s"/>
      <c r="AH104" s="225" t="s"/>
      <c r="AI104" s="225" t="s"/>
      <c r="AJ104" s="225" t="s"/>
      <c r="AK104" s="225" t="s"/>
      <c r="AL104" s="225" t="s"/>
      <c r="AM104" s="225" t="s"/>
      <c r="AN104" s="225" t="s"/>
      <c r="AO104" s="225" t="s"/>
      <c r="AP104" s="225" t="s"/>
      <c r="AQ104" s="225" t="s"/>
      <c r="AR104" s="225" t="s"/>
      <c r="AS104" s="225" t="s"/>
      <c r="AT104" s="225" t="s"/>
    </row>
    <row r="105" spans="1:46" ht="18" customHeight="1">
      <c r="A105" s="302" t="s">
        <v>329</v>
      </c>
      <c r="B105" s="217" t="s">
        <v>330</v>
      </c>
      <c r="C105" s="218" t="s">
        <v>288</v>
      </c>
      <c r="D105" s="229">
        <v>1</v>
      </c>
      <c r="E105" s="229">
        <f>=5/E107</f>
        <v>1</v>
      </c>
      <c r="F105" s="229">
        <f>=5/F107</f>
        <v>0.833333333333334</v>
      </c>
      <c r="G105" s="229">
        <f>=5/G107</f>
        <v>0.714285714285714</v>
      </c>
      <c r="H105" s="229">
        <f>=5/H107</f>
        <v>0.625</v>
      </c>
      <c r="I105" s="224" t="s"/>
      <c r="J105" s="224" t="s"/>
      <c r="K105" s="226" t="s"/>
      <c r="L105" s="226" t="s"/>
      <c r="M105" s="226" t="s"/>
      <c r="N105" s="226" t="s"/>
      <c r="O105" s="304" t="s"/>
      <c r="P105" s="224" t="s"/>
      <c r="Q105" s="224" t="s"/>
      <c r="R105" s="224" t="s"/>
      <c r="S105" s="224" t="s"/>
      <c r="T105" s="224" t="s"/>
      <c r="U105" s="224" t="s"/>
      <c r="V105" s="224" t="s"/>
      <c r="W105" s="225" t="s"/>
      <c r="X105" s="225" t="s"/>
      <c r="Y105" s="225" t="s"/>
      <c r="Z105" s="225" t="s"/>
      <c r="AA105" s="225" t="s"/>
      <c r="AB105" s="225" t="s"/>
      <c r="AC105" s="225" t="s"/>
      <c r="AD105" s="225" t="s"/>
      <c r="AE105" s="225" t="s"/>
      <c r="AF105" s="225" t="s"/>
      <c r="AG105" s="225" t="s"/>
      <c r="AH105" s="225" t="s"/>
      <c r="AI105" s="225" t="s"/>
      <c r="AJ105" s="225" t="s"/>
      <c r="AK105" s="225" t="s"/>
      <c r="AL105" s="225" t="s"/>
      <c r="AM105" s="225" t="s"/>
      <c r="AN105" s="225" t="s"/>
      <c r="AO105" s="225" t="s"/>
      <c r="AP105" s="225" t="s"/>
      <c r="AQ105" s="225" t="s"/>
      <c r="AR105" s="225" t="s"/>
      <c r="AS105" s="225" t="s"/>
      <c r="AT105" s="225" t="s"/>
    </row>
    <row r="106" spans="1:46" ht="18" customHeight="1">
      <c r="A106" s="37" t="s"/>
      <c r="B106" s="215" t="s"/>
      <c r="C106" s="218" t="s">
        <v>289</v>
      </c>
      <c r="D106" s="233">
        <v>1.08</v>
      </c>
      <c r="E106" s="233">
        <f>=D106/(D107-1)*(E107-1)</f>
        <v>1.44</v>
      </c>
      <c r="F106" s="233">
        <f>=E106/(E107-1)*(F107-1)</f>
        <v>1.8</v>
      </c>
      <c r="G106" s="233">
        <f>=F106/(F107-1)*(G107-1)</f>
        <v>2.16</v>
      </c>
      <c r="H106" s="233">
        <f>=G106/(G107-1)*(H107-1)</f>
        <v>2.52</v>
      </c>
      <c r="I106" s="224" t="s"/>
      <c r="J106" s="224" t="s"/>
      <c r="K106" s="226" t="s"/>
      <c r="L106" s="226" t="s"/>
      <c r="M106" s="226" t="s"/>
      <c r="N106" s="226" t="s"/>
      <c r="O106" s="304" t="s"/>
      <c r="P106" s="224" t="s"/>
      <c r="Q106" s="224" t="s"/>
      <c r="R106" s="224" t="s"/>
      <c r="S106" s="224" t="s"/>
      <c r="T106" s="224" t="s"/>
      <c r="U106" s="224" t="s"/>
      <c r="V106" s="224" t="s"/>
      <c r="W106" s="225" t="s"/>
      <c r="X106" s="225" t="s"/>
      <c r="Y106" s="225" t="s"/>
      <c r="Z106" s="225" t="s"/>
      <c r="AA106" s="225" t="s"/>
      <c r="AB106" s="225" t="s"/>
      <c r="AC106" s="225" t="s"/>
      <c r="AD106" s="225" t="s"/>
      <c r="AE106" s="225" t="s"/>
      <c r="AF106" s="225" t="s"/>
      <c r="AG106" s="225" t="s"/>
      <c r="AH106" s="225" t="s"/>
      <c r="AI106" s="225" t="s"/>
      <c r="AJ106" s="225" t="s"/>
      <c r="AK106" s="225" t="s"/>
      <c r="AL106" s="225" t="s"/>
      <c r="AM106" s="225" t="s"/>
      <c r="AN106" s="225" t="s"/>
      <c r="AO106" s="225" t="s"/>
      <c r="AP106" s="225" t="s"/>
      <c r="AQ106" s="225" t="s"/>
      <c r="AR106" s="225" t="s"/>
      <c r="AS106" s="225" t="s"/>
      <c r="AT106" s="225" t="s"/>
    </row>
    <row r="107" spans="1:46" ht="18" customHeight="1">
      <c r="A107" s="37" t="s"/>
      <c r="B107" s="215" t="s"/>
      <c r="C107" s="218" t="s">
        <v>290</v>
      </c>
      <c r="D107" s="218">
        <v>4</v>
      </c>
      <c r="E107" s="218">
        <v>5</v>
      </c>
      <c r="F107" s="218">
        <v>6</v>
      </c>
      <c r="G107" s="218">
        <v>7</v>
      </c>
      <c r="H107" s="218">
        <v>8</v>
      </c>
      <c r="I107" s="224" t="s"/>
      <c r="J107" s="224" t="s"/>
      <c r="K107" s="226" t="s"/>
      <c r="L107" s="226" t="s"/>
      <c r="M107" s="226" t="s"/>
      <c r="N107" s="226" t="s"/>
      <c r="O107" s="304" t="s"/>
      <c r="P107" s="224" t="s"/>
      <c r="Q107" s="224" t="s"/>
      <c r="R107" s="224" t="s"/>
      <c r="S107" s="224" t="s"/>
      <c r="T107" s="224" t="s"/>
      <c r="U107" s="224" t="s"/>
      <c r="V107" s="224" t="s"/>
      <c r="W107" s="225" t="s"/>
      <c r="X107" s="225" t="s"/>
      <c r="Y107" s="225" t="s"/>
      <c r="Z107" s="225" t="s"/>
      <c r="AA107" s="225" t="s"/>
      <c r="AB107" s="225" t="s"/>
      <c r="AC107" s="225" t="s"/>
      <c r="AD107" s="225" t="s"/>
      <c r="AE107" s="225" t="s"/>
      <c r="AF107" s="225" t="s"/>
      <c r="AG107" s="225" t="s"/>
      <c r="AH107" s="225" t="s"/>
      <c r="AI107" s="225" t="s"/>
      <c r="AJ107" s="225" t="s"/>
      <c r="AK107" s="225" t="s"/>
      <c r="AL107" s="225" t="s"/>
      <c r="AM107" s="225" t="s"/>
      <c r="AN107" s="225" t="s"/>
      <c r="AO107" s="225" t="s"/>
      <c r="AP107" s="225" t="s"/>
      <c r="AQ107" s="225" t="s"/>
      <c r="AR107" s="225" t="s"/>
      <c r="AS107" s="225" t="s"/>
      <c r="AT107" s="225" t="s"/>
    </row>
    <row r="108" spans="1:46" ht="18" customHeight="1">
      <c r="A108" s="37" t="s"/>
      <c r="B108" s="217" t="s">
        <v>331</v>
      </c>
      <c r="C108" s="218" t="s">
        <v>288</v>
      </c>
      <c r="D108" s="229">
        <v>1</v>
      </c>
      <c r="E108" s="229">
        <f>=4/E110</f>
        <v>0.8</v>
      </c>
      <c r="F108" s="229">
        <f>=4/F110</f>
        <v>0.666666666666667</v>
      </c>
      <c r="G108" s="229">
        <f>=4/G110</f>
        <v>0.571428571428572</v>
      </c>
      <c r="H108" s="229">
        <f>=4/H110</f>
        <v>0.5</v>
      </c>
      <c r="I108" s="223">
        <f>=4/I110</f>
        <v>0.444444444444445</v>
      </c>
      <c r="J108" s="223">
        <f>=4/J110</f>
        <v>0.4</v>
      </c>
      <c r="K108" s="223">
        <f>=4/K110</f>
        <v>0.363636363636364</v>
      </c>
      <c r="L108" s="223">
        <f>=4/L110</f>
        <v>0.333333333333333</v>
      </c>
      <c r="M108" s="226" t="s"/>
      <c r="N108" s="226" t="s"/>
      <c r="O108" s="304" t="s"/>
      <c r="P108" s="224" t="s"/>
      <c r="Q108" s="224" t="s"/>
      <c r="R108" s="224" t="s"/>
      <c r="S108" s="224" t="s"/>
      <c r="T108" s="224" t="s"/>
      <c r="U108" s="224" t="s"/>
      <c r="V108" s="224" t="s"/>
      <c r="W108" s="225" t="s"/>
      <c r="X108" s="225" t="s"/>
      <c r="Y108" s="225" t="s"/>
      <c r="Z108" s="225" t="s"/>
      <c r="AA108" s="225" t="s"/>
      <c r="AB108" s="225" t="s"/>
      <c r="AC108" s="225" t="s"/>
      <c r="AD108" s="225" t="s"/>
      <c r="AE108" s="225" t="s"/>
      <c r="AF108" s="225" t="s"/>
      <c r="AG108" s="225" t="s"/>
      <c r="AH108" s="225" t="s"/>
      <c r="AI108" s="225" t="s"/>
      <c r="AJ108" s="225" t="s"/>
      <c r="AK108" s="225" t="s"/>
      <c r="AL108" s="225" t="s"/>
      <c r="AM108" s="225" t="s"/>
      <c r="AN108" s="225" t="s"/>
      <c r="AO108" s="225" t="s"/>
      <c r="AP108" s="225" t="s"/>
      <c r="AQ108" s="225" t="s"/>
      <c r="AR108" s="225" t="s"/>
      <c r="AS108" s="225" t="s"/>
      <c r="AT108" s="225" t="s"/>
    </row>
    <row r="109" spans="1:46" ht="18" customHeight="1">
      <c r="A109" s="37" t="s"/>
      <c r="B109" s="215" t="s"/>
      <c r="C109" s="218" t="s">
        <v>289</v>
      </c>
      <c r="D109" s="233">
        <v>2.3</v>
      </c>
      <c r="E109" s="233">
        <f>=D109/(D110-1)*(E110-1)</f>
        <v>3.06666666666667</v>
      </c>
      <c r="F109" s="233">
        <f>=E109/(E110-1)*(F110-1)</f>
        <v>3.83333333333333</v>
      </c>
      <c r="G109" s="233">
        <f>=F109/(F110-1)*(G110-1)</f>
        <v>4.6</v>
      </c>
      <c r="H109" s="233">
        <f>=G109/(G110-1)*(H110-1)</f>
        <v>5.36666666666667</v>
      </c>
      <c r="I109" s="210">
        <f>=H109/(H110-1)*(I110-1)</f>
        <v>6.13333333333333</v>
      </c>
      <c r="J109" s="210">
        <f>=I109/(I110-1)*(J110-1)</f>
        <v>6.9</v>
      </c>
      <c r="K109" s="210">
        <f>=J109/(J110-1)*(K110-1)</f>
        <v>7.66666666666667</v>
      </c>
      <c r="L109" s="210">
        <f>=K109/(K110-1)*(L110-1)</f>
        <v>8.43333333333334</v>
      </c>
      <c r="M109" s="226" t="s"/>
      <c r="N109" s="226" t="s"/>
      <c r="O109" s="304" t="s"/>
      <c r="P109" s="224" t="s"/>
      <c r="Q109" s="224" t="s"/>
      <c r="R109" s="224" t="s"/>
      <c r="S109" s="224" t="s"/>
      <c r="T109" s="224" t="s"/>
      <c r="U109" s="224" t="s"/>
      <c r="V109" s="224" t="s"/>
      <c r="W109" s="225" t="s"/>
      <c r="X109" s="225" t="s"/>
      <c r="Y109" s="225" t="s"/>
      <c r="Z109" s="225" t="s"/>
      <c r="AA109" s="225" t="s"/>
      <c r="AB109" s="225" t="s"/>
      <c r="AC109" s="225" t="s"/>
      <c r="AD109" s="225" t="s"/>
      <c r="AE109" s="225" t="s"/>
      <c r="AF109" s="225" t="s"/>
      <c r="AG109" s="225" t="s"/>
      <c r="AH109" s="225" t="s"/>
      <c r="AI109" s="225" t="s"/>
      <c r="AJ109" s="225" t="s"/>
      <c r="AK109" s="225" t="s"/>
      <c r="AL109" s="225" t="s"/>
      <c r="AM109" s="225" t="s"/>
      <c r="AN109" s="225" t="s"/>
      <c r="AO109" s="225" t="s"/>
      <c r="AP109" s="225" t="s"/>
      <c r="AQ109" s="225" t="s"/>
      <c r="AR109" s="225" t="s"/>
      <c r="AS109" s="225" t="s"/>
      <c r="AT109" s="225" t="s"/>
    </row>
    <row r="110" spans="1:46" ht="18" customHeight="1">
      <c r="A110" s="37" t="s"/>
      <c r="B110" s="215" t="s"/>
      <c r="C110" s="218" t="s">
        <v>290</v>
      </c>
      <c r="D110" s="218">
        <v>4</v>
      </c>
      <c r="E110" s="218">
        <v>5</v>
      </c>
      <c r="F110" s="218">
        <v>6</v>
      </c>
      <c r="G110" s="218">
        <v>7</v>
      </c>
      <c r="H110" s="218">
        <v>8</v>
      </c>
      <c r="I110" s="209">
        <v>9</v>
      </c>
      <c r="J110" s="209">
        <v>10</v>
      </c>
      <c r="K110" s="209">
        <v>11</v>
      </c>
      <c r="L110" s="209">
        <v>12</v>
      </c>
      <c r="M110" s="226" t="s"/>
      <c r="N110" s="226" t="s"/>
      <c r="O110" s="304" t="s"/>
      <c r="P110" s="224" t="s"/>
      <c r="Q110" s="224" t="s"/>
      <c r="R110" s="224" t="s"/>
      <c r="S110" s="224" t="s"/>
      <c r="T110" s="224" t="s"/>
      <c r="U110" s="224" t="s"/>
      <c r="V110" s="224" t="s"/>
      <c r="W110" s="225" t="s"/>
      <c r="X110" s="225" t="s"/>
      <c r="Y110" s="225" t="s"/>
      <c r="Z110" s="225" t="s"/>
      <c r="AA110" s="225" t="s"/>
      <c r="AB110" s="225" t="s"/>
      <c r="AC110" s="225" t="s"/>
      <c r="AD110" s="225" t="s"/>
      <c r="AE110" s="225" t="s"/>
      <c r="AF110" s="225" t="s"/>
      <c r="AG110" s="225" t="s"/>
      <c r="AH110" s="225" t="s"/>
      <c r="AI110" s="225" t="s"/>
      <c r="AJ110" s="225" t="s"/>
      <c r="AK110" s="225" t="s"/>
      <c r="AL110" s="225" t="s"/>
      <c r="AM110" s="225" t="s"/>
      <c r="AN110" s="225" t="s"/>
      <c r="AO110" s="225" t="s"/>
      <c r="AP110" s="225" t="s"/>
      <c r="AQ110" s="225" t="s"/>
      <c r="AR110" s="225" t="s"/>
      <c r="AS110" s="225" t="s"/>
      <c r="AT110" s="225" t="s"/>
    </row>
    <row r="111" spans="1:46" ht="18" customHeight="1">
      <c r="A111" s="37" t="s"/>
      <c r="B111" s="217" t="s">
        <v>332</v>
      </c>
      <c r="C111" s="218" t="s">
        <v>288</v>
      </c>
      <c r="D111" s="229">
        <v>1</v>
      </c>
      <c r="E111" s="229">
        <f>=3/E113</f>
        <v>0.75</v>
      </c>
      <c r="F111" s="229">
        <f>=3/F113</f>
        <v>0.6</v>
      </c>
      <c r="G111" s="229">
        <f>=3/G113</f>
        <v>0.5</v>
      </c>
      <c r="H111" s="229">
        <f>=3/H113</f>
        <v>0.428571428571429</v>
      </c>
      <c r="I111" s="224" t="s"/>
      <c r="J111" s="224" t="s"/>
      <c r="K111" s="226" t="s"/>
      <c r="L111" s="226" t="s"/>
      <c r="M111" s="226" t="s"/>
      <c r="N111" s="226" t="s"/>
      <c r="O111" s="304" t="s"/>
      <c r="P111" s="224" t="s"/>
      <c r="Q111" s="224" t="s"/>
      <c r="R111" s="224" t="s"/>
      <c r="S111" s="224" t="s"/>
      <c r="T111" s="224" t="s"/>
      <c r="U111" s="224" t="s"/>
      <c r="V111" s="224" t="s"/>
      <c r="W111" s="225" t="s"/>
      <c r="X111" s="225" t="s"/>
      <c r="Y111" s="225" t="s"/>
      <c r="Z111" s="225" t="s"/>
      <c r="AA111" s="225" t="s"/>
      <c r="AB111" s="225" t="s"/>
      <c r="AC111" s="225" t="s"/>
      <c r="AD111" s="225" t="s"/>
      <c r="AE111" s="225" t="s"/>
      <c r="AF111" s="225" t="s"/>
      <c r="AG111" s="225" t="s"/>
      <c r="AH111" s="225" t="s"/>
      <c r="AI111" s="225" t="s"/>
      <c r="AJ111" s="225" t="s"/>
      <c r="AK111" s="225" t="s"/>
      <c r="AL111" s="225" t="s"/>
      <c r="AM111" s="225" t="s"/>
      <c r="AN111" s="225" t="s"/>
      <c r="AO111" s="225" t="s"/>
      <c r="AP111" s="225" t="s"/>
      <c r="AQ111" s="225" t="s"/>
      <c r="AR111" s="225" t="s"/>
      <c r="AS111" s="225" t="s"/>
      <c r="AT111" s="225" t="s"/>
    </row>
    <row r="112" spans="1:46" ht="18" customHeight="1">
      <c r="A112" s="37" t="s"/>
      <c r="B112" s="215" t="s"/>
      <c r="C112" s="218" t="s">
        <v>289</v>
      </c>
      <c r="D112" s="233">
        <v>3.21</v>
      </c>
      <c r="E112" s="233">
        <f>=D112/(D113-1)*(E113-1)</f>
        <v>4.815</v>
      </c>
      <c r="F112" s="233">
        <f>=E112/(E113-1)*(F113-1)</f>
        <v>6.42</v>
      </c>
      <c r="G112" s="233">
        <f>=F112/(F113-1)*(G113-1)</f>
        <v>8.025</v>
      </c>
      <c r="H112" s="233">
        <f>=G112/(G113-1)*(H113-1)</f>
        <v>9.63</v>
      </c>
      <c r="I112" s="224" t="s"/>
      <c r="J112" s="224" t="s"/>
      <c r="K112" s="226" t="s"/>
      <c r="L112" s="226" t="s"/>
      <c r="M112" s="226" t="s"/>
      <c r="N112" s="226" t="s"/>
      <c r="O112" s="304" t="s"/>
      <c r="P112" s="224" t="s"/>
      <c r="Q112" s="224" t="s"/>
      <c r="R112" s="224" t="s"/>
      <c r="S112" s="224" t="s"/>
      <c r="T112" s="224" t="s"/>
      <c r="U112" s="224" t="s"/>
      <c r="V112" s="224" t="s"/>
      <c r="W112" s="225" t="s"/>
      <c r="X112" s="225" t="s"/>
      <c r="Y112" s="225" t="s"/>
      <c r="Z112" s="225" t="s"/>
      <c r="AA112" s="225" t="s"/>
      <c r="AB112" s="225" t="s"/>
      <c r="AC112" s="225" t="s"/>
      <c r="AD112" s="225" t="s"/>
      <c r="AE112" s="225" t="s"/>
      <c r="AF112" s="225" t="s"/>
      <c r="AG112" s="225" t="s"/>
      <c r="AH112" s="225" t="s"/>
      <c r="AI112" s="225" t="s"/>
      <c r="AJ112" s="225" t="s"/>
      <c r="AK112" s="225" t="s"/>
      <c r="AL112" s="225" t="s"/>
      <c r="AM112" s="225" t="s"/>
      <c r="AN112" s="225" t="s"/>
      <c r="AO112" s="225" t="s"/>
      <c r="AP112" s="225" t="s"/>
      <c r="AQ112" s="225" t="s"/>
      <c r="AR112" s="225" t="s"/>
      <c r="AS112" s="225" t="s"/>
      <c r="AT112" s="225" t="s"/>
    </row>
    <row r="113" spans="1:46" ht="18" customHeight="1">
      <c r="A113" s="37" t="s"/>
      <c r="B113" s="215" t="s"/>
      <c r="C113" s="218" t="s">
        <v>290</v>
      </c>
      <c r="D113" s="218">
        <v>3</v>
      </c>
      <c r="E113" s="218">
        <v>4</v>
      </c>
      <c r="F113" s="218">
        <v>5</v>
      </c>
      <c r="G113" s="218">
        <v>6</v>
      </c>
      <c r="H113" s="218">
        <v>7</v>
      </c>
      <c r="I113" s="224" t="s"/>
      <c r="J113" s="224" t="s"/>
      <c r="K113" s="226" t="s"/>
      <c r="L113" s="226" t="s"/>
      <c r="M113" s="226" t="s"/>
      <c r="N113" s="226" t="s"/>
      <c r="O113" s="304" t="s"/>
      <c r="P113" s="224" t="s"/>
      <c r="Q113" s="224" t="s"/>
      <c r="R113" s="224" t="s"/>
      <c r="S113" s="224" t="s"/>
      <c r="T113" s="224" t="s"/>
      <c r="U113" s="224" t="s"/>
      <c r="V113" s="224" t="s"/>
      <c r="W113" s="225" t="s"/>
      <c r="X113" s="225" t="s"/>
      <c r="Y113" s="225" t="s"/>
      <c r="Z113" s="225" t="s"/>
      <c r="AA113" s="225" t="s"/>
      <c r="AB113" s="225" t="s"/>
      <c r="AC113" s="225" t="s"/>
      <c r="AD113" s="225" t="s"/>
      <c r="AE113" s="225" t="s"/>
      <c r="AF113" s="225" t="s"/>
      <c r="AG113" s="225" t="s"/>
      <c r="AH113" s="225" t="s"/>
      <c r="AI113" s="225" t="s"/>
      <c r="AJ113" s="225" t="s"/>
      <c r="AK113" s="225" t="s"/>
      <c r="AL113" s="225" t="s"/>
      <c r="AM113" s="225" t="s"/>
      <c r="AN113" s="225" t="s"/>
      <c r="AO113" s="225" t="s"/>
      <c r="AP113" s="225" t="s"/>
      <c r="AQ113" s="225" t="s"/>
      <c r="AR113" s="225" t="s"/>
      <c r="AS113" s="225" t="s"/>
      <c r="AT113" s="225" t="s"/>
    </row>
    <row r="114" spans="1:46" ht="18" customHeight="1">
      <c r="A114" s="307" t="s"/>
      <c r="B114" s="217" t="s">
        <v>333</v>
      </c>
      <c r="C114" s="218" t="s">
        <v>288</v>
      </c>
      <c r="D114" s="229">
        <v>1</v>
      </c>
      <c r="E114" s="229">
        <f>=3/E116</f>
        <v>0.75</v>
      </c>
      <c r="F114" s="229">
        <f>=3/F116</f>
        <v>0.6</v>
      </c>
      <c r="G114" s="229">
        <f>=3/G116</f>
        <v>0.5</v>
      </c>
      <c r="H114" s="229">
        <f>=3/H116</f>
        <v>0.428571428571429</v>
      </c>
      <c r="I114" s="308" t="s"/>
      <c r="J114" s="308" t="s"/>
      <c r="K114" s="242" t="s"/>
      <c r="L114" s="304" t="s"/>
      <c r="M114" s="226" t="s"/>
      <c r="N114" s="226" t="s"/>
      <c r="O114" s="304" t="s"/>
      <c r="P114" s="224" t="s"/>
      <c r="Q114" s="224" t="s"/>
      <c r="R114" s="224" t="s"/>
      <c r="S114" s="224" t="s"/>
      <c r="T114" s="224" t="s"/>
      <c r="U114" s="224" t="s"/>
      <c r="V114" s="224" t="s"/>
      <c r="W114" s="225" t="s"/>
      <c r="X114" s="225" t="s"/>
      <c r="Y114" s="225" t="s"/>
      <c r="Z114" s="225" t="s"/>
      <c r="AA114" s="225" t="s"/>
      <c r="AB114" s="225" t="s"/>
      <c r="AC114" s="225" t="s"/>
      <c r="AD114" s="225" t="s"/>
      <c r="AE114" s="225" t="s"/>
      <c r="AF114" s="225" t="s"/>
      <c r="AG114" s="225" t="s"/>
      <c r="AH114" s="225" t="s"/>
      <c r="AI114" s="225" t="s"/>
      <c r="AJ114" s="225" t="s"/>
      <c r="AK114" s="225" t="s"/>
      <c r="AL114" s="225" t="s"/>
      <c r="AM114" s="225" t="s"/>
      <c r="AN114" s="225" t="s"/>
      <c r="AO114" s="225" t="s"/>
      <c r="AP114" s="225" t="s"/>
      <c r="AQ114" s="225" t="s"/>
      <c r="AR114" s="225" t="s"/>
      <c r="AS114" s="225" t="s"/>
      <c r="AT114" s="225" t="s"/>
    </row>
    <row r="115" spans="1:46" ht="18" customHeight="1">
      <c r="A115" s="307" t="s"/>
      <c r="B115" s="215" t="s"/>
      <c r="C115" s="218" t="s">
        <v>289</v>
      </c>
      <c r="D115" s="233">
        <v>2.72</v>
      </c>
      <c r="E115" s="233">
        <f>=D115/(D116-1)*(E116-1)</f>
        <v>4.08</v>
      </c>
      <c r="F115" s="233">
        <f>=E115/(E116-1)*(F116-1)</f>
        <v>5.44</v>
      </c>
      <c r="G115" s="233">
        <f>=F115/(F116-1)*(G116-1)</f>
        <v>6.8</v>
      </c>
      <c r="H115" s="233">
        <f>=G115/(G116-1)*(H116-1)</f>
        <v>8.16</v>
      </c>
      <c r="I115" s="308" t="s"/>
      <c r="J115" s="231" t="s"/>
      <c r="K115" s="242" t="s"/>
      <c r="L115" s="304" t="s"/>
      <c r="M115" s="226" t="s"/>
      <c r="N115" s="226" t="s"/>
      <c r="O115" s="304" t="s"/>
      <c r="P115" s="224" t="s"/>
      <c r="Q115" s="224" t="s"/>
      <c r="R115" s="224" t="s"/>
      <c r="S115" s="224" t="s"/>
      <c r="T115" s="224" t="s"/>
      <c r="U115" s="224" t="s"/>
      <c r="V115" s="224" t="s"/>
      <c r="W115" s="225" t="s"/>
      <c r="X115" s="225" t="s"/>
      <c r="Y115" s="225" t="s"/>
      <c r="Z115" s="225" t="s"/>
      <c r="AA115" s="225" t="s"/>
      <c r="AB115" s="225" t="s"/>
      <c r="AC115" s="225" t="s"/>
      <c r="AD115" s="225" t="s"/>
      <c r="AE115" s="225" t="s"/>
      <c r="AF115" s="225" t="s"/>
      <c r="AG115" s="225" t="s"/>
      <c r="AH115" s="225" t="s"/>
      <c r="AI115" s="225" t="s"/>
      <c r="AJ115" s="225" t="s"/>
      <c r="AK115" s="225" t="s"/>
      <c r="AL115" s="225" t="s"/>
      <c r="AM115" s="225" t="s"/>
      <c r="AN115" s="225" t="s"/>
      <c r="AO115" s="225" t="s"/>
      <c r="AP115" s="225" t="s"/>
      <c r="AQ115" s="225" t="s"/>
      <c r="AR115" s="225" t="s"/>
      <c r="AS115" s="225" t="s"/>
      <c r="AT115" s="225" t="s"/>
    </row>
    <row r="116" spans="1:46" ht="18" customHeight="1">
      <c r="A116" s="307" t="s"/>
      <c r="B116" s="215" t="s"/>
      <c r="C116" s="218" t="s">
        <v>290</v>
      </c>
      <c r="D116" s="218">
        <v>3</v>
      </c>
      <c r="E116" s="218">
        <v>4</v>
      </c>
      <c r="F116" s="218">
        <v>5</v>
      </c>
      <c r="G116" s="218">
        <v>6</v>
      </c>
      <c r="H116" s="218">
        <v>7</v>
      </c>
      <c r="I116" s="308" t="s"/>
      <c r="J116" s="231" t="s"/>
      <c r="K116" s="242" t="s"/>
      <c r="L116" s="304" t="s"/>
      <c r="M116" s="226" t="s"/>
      <c r="N116" s="226" t="s"/>
      <c r="O116" s="304" t="s"/>
      <c r="P116" s="224" t="s"/>
      <c r="Q116" s="224" t="s"/>
      <c r="R116" s="224" t="s"/>
      <c r="S116" s="224" t="s"/>
      <c r="T116" s="224" t="s"/>
      <c r="U116" s="224" t="s"/>
      <c r="V116" s="224" t="s"/>
      <c r="W116" s="225" t="s"/>
      <c r="X116" s="225" t="s"/>
      <c r="Y116" s="225" t="s"/>
      <c r="Z116" s="225" t="s"/>
      <c r="AA116" s="225" t="s"/>
      <c r="AB116" s="225" t="s"/>
      <c r="AC116" s="225" t="s"/>
      <c r="AD116" s="225" t="s"/>
      <c r="AE116" s="225" t="s"/>
      <c r="AF116" s="225" t="s"/>
      <c r="AG116" s="225" t="s"/>
      <c r="AH116" s="225" t="s"/>
      <c r="AI116" s="225" t="s"/>
      <c r="AJ116" s="225" t="s"/>
      <c r="AK116" s="225" t="s"/>
      <c r="AL116" s="225" t="s"/>
      <c r="AM116" s="225" t="s"/>
      <c r="AN116" s="225" t="s"/>
      <c r="AO116" s="225" t="s"/>
      <c r="AP116" s="225" t="s"/>
      <c r="AQ116" s="225" t="s"/>
      <c r="AR116" s="225" t="s"/>
      <c r="AS116" s="225" t="s"/>
      <c r="AT116" s="225" t="s"/>
    </row>
    <row r="117" spans="1:46" ht="18" customHeight="1">
      <c r="A117" s="37" t="s"/>
      <c r="B117" s="217" t="s">
        <v>334</v>
      </c>
      <c r="C117" s="218" t="s">
        <v>288</v>
      </c>
      <c r="D117" s="229">
        <v>1</v>
      </c>
      <c r="E117" s="229">
        <f>=3/E119</f>
        <v>0.6</v>
      </c>
      <c r="F117" s="229">
        <f>=3/F119</f>
        <v>0.5</v>
      </c>
      <c r="G117" s="229">
        <f>=3/G119</f>
        <v>0.428571428571429</v>
      </c>
      <c r="H117" s="229">
        <f>=3/H119</f>
        <v>0.375</v>
      </c>
      <c r="I117" s="229">
        <f>=3/I119</f>
        <v>0.333333333333333</v>
      </c>
      <c r="J117" s="231" t="s"/>
      <c r="K117" s="244" t="s"/>
      <c r="L117" s="224" t="s"/>
      <c r="M117" s="226" t="s"/>
      <c r="N117" s="226" t="s"/>
      <c r="O117" s="304" t="s"/>
      <c r="P117" s="224" t="s"/>
      <c r="Q117" s="224" t="s"/>
      <c r="R117" s="224" t="s"/>
      <c r="S117" s="224" t="s"/>
      <c r="T117" s="224" t="s"/>
      <c r="U117" s="224" t="s"/>
      <c r="V117" s="224" t="s"/>
      <c r="W117" s="225" t="s"/>
      <c r="X117" s="225" t="s"/>
      <c r="Y117" s="225" t="s"/>
      <c r="Z117" s="225" t="s"/>
      <c r="AA117" s="225" t="s"/>
      <c r="AB117" s="225" t="s"/>
      <c r="AC117" s="225" t="s"/>
      <c r="AD117" s="225" t="s"/>
      <c r="AE117" s="225" t="s"/>
      <c r="AF117" s="225" t="s"/>
      <c r="AG117" s="225" t="s"/>
      <c r="AH117" s="225" t="s"/>
      <c r="AI117" s="225" t="s"/>
      <c r="AJ117" s="225" t="s"/>
      <c r="AK117" s="225" t="s"/>
      <c r="AL117" s="225" t="s"/>
      <c r="AM117" s="225" t="s"/>
      <c r="AN117" s="225" t="s"/>
      <c r="AO117" s="225" t="s"/>
      <c r="AP117" s="225" t="s"/>
      <c r="AQ117" s="225" t="s"/>
      <c r="AR117" s="225" t="s"/>
      <c r="AS117" s="225" t="s"/>
      <c r="AT117" s="225" t="s"/>
    </row>
    <row r="118" spans="1:46" ht="18" customHeight="1">
      <c r="A118" s="37" t="s"/>
      <c r="B118" s="215" t="s"/>
      <c r="C118" s="218" t="s">
        <v>289</v>
      </c>
      <c r="D118" s="233">
        <v>2.55</v>
      </c>
      <c r="E118" s="233">
        <f>=D118/(D119-1)*(E119-1)</f>
        <v>3.4</v>
      </c>
      <c r="F118" s="233">
        <f>=E118/(E119-1)*(F119-1)</f>
        <v>4.25</v>
      </c>
      <c r="G118" s="233">
        <f>=F118/(F119-1)*(G119-1)</f>
        <v>5.1</v>
      </c>
      <c r="H118" s="233">
        <f>=G118/(G119-1)*(H119-1)</f>
        <v>5.95</v>
      </c>
      <c r="I118" s="233">
        <f>=H118/(H119-1)*(I119-1)</f>
        <v>6.8</v>
      </c>
      <c r="J118" s="231" t="s"/>
      <c r="K118" s="244" t="s"/>
      <c r="L118" s="224" t="s"/>
      <c r="M118" s="226" t="s"/>
      <c r="N118" s="226" t="s"/>
      <c r="O118" s="304" t="s"/>
      <c r="P118" s="224" t="s"/>
      <c r="Q118" s="224" t="s"/>
      <c r="R118" s="224" t="s"/>
      <c r="S118" s="224" t="s"/>
      <c r="T118" s="224" t="s"/>
      <c r="U118" s="224" t="s"/>
      <c r="V118" s="224" t="s"/>
      <c r="W118" s="225" t="s"/>
      <c r="X118" s="225" t="s"/>
      <c r="Y118" s="225" t="s"/>
      <c r="Z118" s="225" t="s"/>
      <c r="AA118" s="225" t="s"/>
      <c r="AB118" s="225" t="s"/>
      <c r="AC118" s="225" t="s"/>
      <c r="AD118" s="225" t="s"/>
      <c r="AE118" s="225" t="s"/>
      <c r="AF118" s="225" t="s"/>
      <c r="AG118" s="225" t="s"/>
      <c r="AH118" s="225" t="s"/>
      <c r="AI118" s="225" t="s"/>
      <c r="AJ118" s="225" t="s"/>
      <c r="AK118" s="225" t="s"/>
      <c r="AL118" s="225" t="s"/>
      <c r="AM118" s="225" t="s"/>
      <c r="AN118" s="225" t="s"/>
      <c r="AO118" s="225" t="s"/>
      <c r="AP118" s="225" t="s"/>
      <c r="AQ118" s="225" t="s"/>
      <c r="AR118" s="225" t="s"/>
      <c r="AS118" s="225" t="s"/>
      <c r="AT118" s="225" t="s"/>
    </row>
    <row r="119" spans="1:46" ht="18" customHeight="1">
      <c r="A119" s="37" t="s"/>
      <c r="B119" s="215" t="s"/>
      <c r="C119" s="218" t="s">
        <v>290</v>
      </c>
      <c r="D119" s="218">
        <v>4</v>
      </c>
      <c r="E119" s="218">
        <v>5</v>
      </c>
      <c r="F119" s="218">
        <v>6</v>
      </c>
      <c r="G119" s="218">
        <v>7</v>
      </c>
      <c r="H119" s="218">
        <v>8</v>
      </c>
      <c r="I119" s="218">
        <v>9</v>
      </c>
      <c r="J119" s="231" t="s"/>
      <c r="K119" s="244" t="s"/>
      <c r="L119" s="224" t="s"/>
      <c r="M119" s="226" t="s"/>
      <c r="N119" s="226" t="s"/>
      <c r="O119" s="304" t="s"/>
      <c r="P119" s="224" t="s"/>
      <c r="Q119" s="224" t="s"/>
      <c r="R119" s="224" t="s"/>
      <c r="S119" s="224" t="s"/>
      <c r="T119" s="224" t="s"/>
      <c r="U119" s="224" t="s"/>
      <c r="V119" s="224" t="s"/>
      <c r="W119" s="225" t="s"/>
      <c r="X119" s="225" t="s"/>
      <c r="Y119" s="225" t="s"/>
      <c r="Z119" s="225" t="s"/>
      <c r="AA119" s="225" t="s"/>
      <c r="AB119" s="225" t="s"/>
      <c r="AC119" s="225" t="s"/>
      <c r="AD119" s="225" t="s"/>
      <c r="AE119" s="225" t="s"/>
      <c r="AF119" s="225" t="s"/>
      <c r="AG119" s="225" t="s"/>
      <c r="AH119" s="225" t="s"/>
      <c r="AI119" s="225" t="s"/>
      <c r="AJ119" s="225" t="s"/>
      <c r="AK119" s="225" t="s"/>
      <c r="AL119" s="225" t="s"/>
      <c r="AM119" s="225" t="s"/>
      <c r="AN119" s="225" t="s"/>
      <c r="AO119" s="225" t="s"/>
      <c r="AP119" s="225" t="s"/>
      <c r="AQ119" s="225" t="s"/>
      <c r="AR119" s="225" t="s"/>
      <c r="AS119" s="225" t="s"/>
      <c r="AT119" s="225" t="s"/>
    </row>
    <row r="120" spans="2:46">
      <c r="B120" s="245" t="s"/>
      <c r="C120" s="245" t="s"/>
      <c r="D120" s="245" t="s"/>
      <c r="E120" s="245" t="s"/>
      <c r="F120" s="245" t="s"/>
      <c r="G120" s="245" t="s"/>
      <c r="H120" s="245" t="s"/>
      <c r="I120" s="245" t="s"/>
      <c r="J120" s="245" t="s"/>
      <c r="K120" s="232" t="s"/>
      <c r="L120" s="225" t="s"/>
      <c r="M120" s="225" t="s"/>
      <c r="N120" s="225" t="s"/>
      <c r="O120" s="225" t="s"/>
      <c r="P120" s="225" t="s"/>
      <c r="Q120" s="225" t="s"/>
      <c r="R120" s="225" t="s"/>
      <c r="S120" s="225" t="s"/>
      <c r="T120" s="225" t="s"/>
      <c r="U120" s="225" t="s"/>
      <c r="V120" s="225" t="s"/>
      <c r="W120" s="225" t="s"/>
      <c r="X120" s="225" t="s"/>
      <c r="Y120" s="225" t="s"/>
      <c r="Z120" s="225" t="s"/>
      <c r="AA120" s="225" t="s"/>
      <c r="AB120" s="225" t="s"/>
      <c r="AC120" s="225" t="s"/>
      <c r="AD120" s="225" t="s"/>
      <c r="AE120" s="225" t="s"/>
      <c r="AF120" s="225" t="s"/>
      <c r="AG120" s="225" t="s"/>
      <c r="AH120" s="225" t="s"/>
      <c r="AI120" s="225" t="s"/>
      <c r="AJ120" s="225" t="s"/>
      <c r="AK120" s="225" t="s"/>
      <c r="AL120" s="225" t="s"/>
      <c r="AM120" s="225" t="s"/>
      <c r="AN120" s="225" t="s"/>
      <c r="AO120" s="225" t="s"/>
      <c r="AP120" s="225" t="s"/>
      <c r="AQ120" s="225" t="s"/>
      <c r="AR120" s="225" t="s"/>
      <c r="AS120" s="225" t="s"/>
      <c r="AT120" s="225" t="s"/>
    </row>
    <row r="121" spans="2:46">
      <c r="B121" s="245" t="s"/>
      <c r="C121" s="245" t="s"/>
      <c r="D121" s="245" t="s"/>
      <c r="E121" s="245" t="s"/>
      <c r="F121" s="245" t="s"/>
      <c r="G121" s="245" t="s"/>
      <c r="H121" s="245" t="s"/>
      <c r="I121" s="245" t="s"/>
      <c r="J121" s="245" t="s"/>
      <c r="K121" s="232" t="s"/>
      <c r="L121" s="225" t="s"/>
      <c r="M121" s="225" t="s"/>
      <c r="N121" s="225" t="s"/>
      <c r="O121" s="225" t="s"/>
      <c r="P121" s="225" t="s"/>
      <c r="Q121" s="225" t="s"/>
      <c r="R121" s="225" t="s"/>
      <c r="S121" s="225" t="s"/>
      <c r="T121" s="225" t="s"/>
      <c r="U121" s="225" t="s"/>
      <c r="V121" s="225" t="s"/>
      <c r="W121" s="225" t="s"/>
      <c r="X121" s="225" t="s"/>
      <c r="Y121" s="225" t="s"/>
      <c r="Z121" s="225" t="s"/>
      <c r="AA121" s="225" t="s"/>
      <c r="AB121" s="225" t="s"/>
      <c r="AC121" s="225" t="s"/>
      <c r="AD121" s="225" t="s"/>
      <c r="AE121" s="225" t="s"/>
      <c r="AF121" s="225" t="s"/>
      <c r="AG121" s="225" t="s"/>
      <c r="AH121" s="225" t="s"/>
      <c r="AI121" s="225" t="s"/>
      <c r="AJ121" s="225" t="s"/>
      <c r="AK121" s="225" t="s"/>
      <c r="AL121" s="225" t="s"/>
      <c r="AM121" s="225" t="s"/>
      <c r="AN121" s="225" t="s"/>
      <c r="AO121" s="225" t="s"/>
      <c r="AP121" s="225" t="s"/>
      <c r="AQ121" s="225" t="s"/>
      <c r="AR121" s="225" t="s"/>
      <c r="AS121" s="225" t="s"/>
      <c r="AT121" s="225" t="s"/>
    </row>
    <row r="122" spans="2:46">
      <c r="B122" s="245" t="s"/>
      <c r="C122" s="245" t="s"/>
      <c r="D122" s="245" t="s"/>
      <c r="E122" s="245" t="s"/>
      <c r="F122" s="245" t="s"/>
      <c r="G122" s="245" t="s"/>
      <c r="H122" s="245" t="s"/>
      <c r="I122" s="245" t="s"/>
      <c r="J122" s="245" t="s"/>
      <c r="K122" s="232" t="s"/>
      <c r="L122" s="225" t="s"/>
      <c r="M122" s="225" t="s"/>
      <c r="N122" s="225" t="s"/>
      <c r="O122" s="225" t="s"/>
      <c r="P122" s="225" t="s"/>
      <c r="Q122" s="225" t="s"/>
      <c r="R122" s="225" t="s"/>
      <c r="S122" s="225" t="s"/>
      <c r="T122" s="225" t="s"/>
      <c r="U122" s="225" t="s"/>
      <c r="V122" s="225" t="s"/>
      <c r="W122" s="225" t="s"/>
      <c r="X122" s="225" t="s"/>
      <c r="Y122" s="225" t="s"/>
      <c r="Z122" s="225" t="s"/>
      <c r="AA122" s="225" t="s"/>
      <c r="AB122" s="225" t="s"/>
      <c r="AC122" s="225" t="s"/>
      <c r="AD122" s="225" t="s"/>
      <c r="AE122" s="225" t="s"/>
      <c r="AF122" s="225" t="s"/>
      <c r="AG122" s="225" t="s"/>
      <c r="AH122" s="225" t="s"/>
      <c r="AI122" s="225" t="s"/>
      <c r="AJ122" s="225" t="s"/>
      <c r="AK122" s="225" t="s"/>
      <c r="AL122" s="225" t="s"/>
      <c r="AM122" s="225" t="s"/>
      <c r="AN122" s="225" t="s"/>
      <c r="AO122" s="225" t="s"/>
      <c r="AP122" s="225" t="s"/>
      <c r="AQ122" s="225" t="s"/>
      <c r="AR122" s="225" t="s"/>
      <c r="AS122" s="225" t="s"/>
      <c r="AT122" s="225" t="s"/>
    </row>
  </sheetData>
  <mergeCells count="47">
    <mergeCell ref="B3:B5"/>
    <mergeCell ref="B6:B8"/>
    <mergeCell ref="B9:B11"/>
    <mergeCell ref="B12:B14"/>
    <mergeCell ref="B15:B17"/>
    <mergeCell ref="B21:B23"/>
    <mergeCell ref="B24:B26"/>
    <mergeCell ref="B30:B32"/>
    <mergeCell ref="B27:B29"/>
    <mergeCell ref="B33:B35"/>
    <mergeCell ref="B36:B38"/>
    <mergeCell ref="B39:B41"/>
    <mergeCell ref="B45:B47"/>
    <mergeCell ref="B48:B50"/>
    <mergeCell ref="B102:B104"/>
    <mergeCell ref="B105:B107"/>
    <mergeCell ref="B108:B110"/>
    <mergeCell ref="B111:B113"/>
    <mergeCell ref="B117:B119"/>
    <mergeCell ref="B99:B101"/>
    <mergeCell ref="B96:B98"/>
    <mergeCell ref="B93:B95"/>
    <mergeCell ref="A93:A104"/>
    <mergeCell ref="B54:B56"/>
    <mergeCell ref="B57:B59"/>
    <mergeCell ref="B60:B62"/>
    <mergeCell ref="B63:B65"/>
    <mergeCell ref="B66:B68"/>
    <mergeCell ref="B69:B71"/>
    <mergeCell ref="B78:B80"/>
    <mergeCell ref="B84:B86"/>
    <mergeCell ref="B87:B89"/>
    <mergeCell ref="B90:B92"/>
    <mergeCell ref="B72:B74"/>
    <mergeCell ref="B75:B77"/>
    <mergeCell ref="A1:Z1"/>
    <mergeCell ref="A2:Z2"/>
    <mergeCell ref="A105:A119"/>
    <mergeCell ref="B114:B116"/>
    <mergeCell ref="B42:B44"/>
    <mergeCell ref="B81:B83"/>
    <mergeCell ref="A72:A92"/>
    <mergeCell ref="B18:B20"/>
    <mergeCell ref="A3:A32"/>
    <mergeCell ref="A54:A71"/>
    <mergeCell ref="B51:B53"/>
    <mergeCell ref="A33:A53"/>
  </mergeCells>
  <hyperlinks>
    <hyperlink ref="A2" r:id="rId0"/>
  </hyperlinks>
</worksheet>
</file>

<file path=xl/worksheets/sheet3.xml><?xml version="1.0" encoding="utf-8"?>
<worksheet xmlns="http://schemas.openxmlformats.org/spreadsheetml/2006/main">
  <sheetPr/>
  <dimension ref="Z198"/>
  <sheetViews>
    <sheetView showGridLines="1" zoomScale="70" zoomScaleNormal="70" workbookViewId="0">
      <pane ySplit="4" topLeftCell="A5" state="frozen"/>
    </sheetView>
  </sheetViews>
  <sheetFormatPr baseColWidth="8" defaultRowHeight="15.5"/>
  <cols>
    <col min="1" max="1" width="15.1641" style="622" customWidth="1"/>
    <col min="2" max="2" width="15.1641" style="621" customWidth="1"/>
    <col min="3" max="3" width="16.9141" style="621" customWidth="1"/>
    <col min="4" max="4" width="13.9141" style="621" customWidth="1"/>
    <col min="5" max="5" width="17.4844" style="621" customWidth="1"/>
    <col min="6" max="6" width="13.6094" style="621" customWidth="1"/>
    <col min="7" max="7" width="14.8398" style="621" customWidth="1"/>
    <col min="8" max="8" width="18.1523" style="622" customWidth="1"/>
    <col min="9" max="9" width="21.3398" style="625" customWidth="1"/>
    <col min="10" max="10" width="28.082" style="625" customWidth="1"/>
    <col min="11" max="11" width="46.3281" style="621" customWidth="1"/>
    <col min="12" max="23" width="8.66406" style="621" customWidth="1"/>
  </cols>
  <sheetData>
    <row r="1" spans="1:11" ht="63" customHeight="1">
      <c r="A1" s="309" t="s">
        <v>426</v>
      </c>
      <c r="B1" s="37" t="s"/>
      <c r="C1" s="37" t="s"/>
      <c r="D1" s="37" t="s"/>
      <c r="E1" s="37" t="s"/>
      <c r="F1" s="37" t="s"/>
      <c r="G1" s="37" t="s"/>
      <c r="H1" s="37" t="s"/>
      <c r="I1" s="37" t="s"/>
      <c r="J1" s="37" t="s"/>
      <c r="K1" s="37" t="s"/>
    </row>
    <row r="2" spans="1:11" ht="28.5" customHeight="1">
      <c r="A2" s="310" t="s">
        <v>335</v>
      </c>
      <c r="B2" s="37" t="s"/>
      <c r="C2" s="37" t="s"/>
      <c r="D2" s="37" t="s"/>
      <c r="E2" s="37" t="s"/>
      <c r="F2" s="37" t="s"/>
      <c r="G2" s="37" t="s"/>
      <c r="H2" s="37" t="s"/>
      <c r="I2" s="37" t="s"/>
      <c r="J2" s="37" t="s"/>
      <c r="K2" s="37" t="s"/>
    </row>
    <row r="3" spans="1:11" ht="37.5" customHeight="1">
      <c r="A3" s="311" t="s">
        <v>336</v>
      </c>
      <c r="B3" s="312" t="s">
        <v>427</v>
      </c>
      <c r="C3" s="313" t="s">
        <v>337</v>
      </c>
      <c r="D3" s="32" t="s"/>
      <c r="E3" s="32" t="s"/>
      <c r="F3" s="314" t="s">
        <v>338</v>
      </c>
      <c r="G3" s="315" t="s">
        <v>339</v>
      </c>
      <c r="H3" s="316" t="s">
        <v>428</v>
      </c>
      <c r="I3" s="317" t="s">
        <v>429</v>
      </c>
      <c r="J3" s="318" t="s">
        <v>430</v>
      </c>
      <c r="K3" s="319" t="s">
        <v>340</v>
      </c>
    </row>
    <row r="4" spans="1:11" ht="37.5" customHeight="1">
      <c r="A4" s="37" t="s"/>
      <c r="B4" s="320" t="s"/>
      <c r="C4" s="32" t="s"/>
      <c r="D4" s="32" t="s"/>
      <c r="E4" s="32" t="s"/>
      <c r="F4" s="35" t="s"/>
      <c r="G4" s="37" t="s"/>
      <c r="H4" s="37" t="s"/>
      <c r="I4" s="321" t="s"/>
      <c r="J4" s="37" t="s"/>
      <c r="K4" s="37" t="s"/>
    </row>
    <row r="5" spans="1:23" s="619" customFormat="1" ht="37.5" customHeight="1">
      <c r="A5" s="593" t="s">
        <v>341</v>
      </c>
      <c r="B5" s="593">
        <v>1</v>
      </c>
      <c r="C5" s="594" t="s">
        <v>161</v>
      </c>
      <c r="D5" s="595" t="s"/>
      <c r="E5" s="596" t="s">
        <v>29</v>
      </c>
      <c r="F5" s="597">
        <v>22</v>
      </c>
      <c r="G5" s="597">
        <v>9</v>
      </c>
      <c r="H5" s="598">
        <v>1.02</v>
      </c>
      <c r="I5" s="599">
        <f>=(F5-G5)/F5*100%</f>
        <v>0.590909090909091</v>
      </c>
      <c r="J5" s="559">
        <f>=H5/(G5-1)*(F5-G5)</f>
        <v>1.6575</v>
      </c>
      <c r="K5" s="383" t="s"/>
      <c r="L5" s="384" t="s"/>
      <c r="M5" s="384" t="s"/>
      <c r="N5" s="384" t="s"/>
      <c r="O5" s="384" t="s"/>
      <c r="P5" s="384" t="s"/>
      <c r="Q5" s="384" t="s"/>
      <c r="R5" s="384" t="s"/>
      <c r="S5" s="384" t="s"/>
      <c r="T5" s="384" t="s"/>
      <c r="U5" s="384" t="s"/>
      <c r="V5" s="384" t="s"/>
      <c r="W5" s="384" t="s"/>
    </row>
    <row r="6" spans="1:23" s="619" customFormat="1" ht="37.5" customHeight="1">
      <c r="A6" s="207" t="s"/>
      <c r="B6" s="601" t="s"/>
      <c r="C6" s="602" t="s"/>
      <c r="D6" s="603" t="s"/>
      <c r="E6" s="596" t="s">
        <v>153</v>
      </c>
      <c r="F6" s="597">
        <v>22</v>
      </c>
      <c r="G6" s="597">
        <v>8</v>
      </c>
      <c r="H6" s="598">
        <v>0.9</v>
      </c>
      <c r="I6" s="599">
        <f>=(F6-G6)/F6*100%</f>
        <v>0.636363636363637</v>
      </c>
      <c r="J6" s="610">
        <f>=H6/(G6-1)*(F6-G6)</f>
        <v>1.8</v>
      </c>
      <c r="K6" s="383" t="s"/>
      <c r="L6" s="384" t="s"/>
      <c r="M6" s="384" t="s"/>
      <c r="N6" s="384" t="s"/>
      <c r="O6" s="384" t="s"/>
      <c r="P6" s="384" t="s"/>
      <c r="Q6" s="384" t="s"/>
      <c r="R6" s="384" t="s"/>
      <c r="S6" s="384" t="s"/>
      <c r="T6" s="384" t="s"/>
      <c r="U6" s="384" t="s"/>
      <c r="V6" s="384" t="s"/>
      <c r="W6" s="384" t="s"/>
    </row>
    <row r="7" spans="1:23" s="619" customFormat="1" ht="37.5" customHeight="1">
      <c r="A7" s="207" t="s"/>
      <c r="B7" s="593">
        <v>2</v>
      </c>
      <c r="C7" s="594" t="s">
        <v>28</v>
      </c>
      <c r="D7" s="595" t="s"/>
      <c r="E7" s="596" t="s">
        <v>29</v>
      </c>
      <c r="F7" s="561">
        <v>26</v>
      </c>
      <c r="G7" s="597">
        <v>11</v>
      </c>
      <c r="H7" s="598">
        <v>0.99</v>
      </c>
      <c r="I7" s="599">
        <f>=(F7-G7)/F7*100%</f>
        <v>0.576923076923077</v>
      </c>
      <c r="J7" s="610">
        <f>=H7/(G7-1)*(F7-G7)</f>
        <v>1.485</v>
      </c>
      <c r="K7" s="383" t="s"/>
      <c r="L7" s="384" t="s"/>
      <c r="M7" s="384" t="s"/>
      <c r="N7" s="384" t="s"/>
      <c r="O7" s="384" t="s"/>
      <c r="P7" s="384" t="s"/>
      <c r="Q7" s="384" t="s"/>
      <c r="R7" s="384" t="s"/>
      <c r="S7" s="384" t="s"/>
      <c r="T7" s="384" t="s"/>
      <c r="U7" s="384" t="s"/>
      <c r="V7" s="384" t="s"/>
      <c r="W7" s="384" t="s"/>
    </row>
    <row r="8" spans="1:23" s="619" customFormat="1" ht="37.5" customHeight="1">
      <c r="A8" s="207" t="s"/>
      <c r="B8" s="601" t="s"/>
      <c r="C8" s="602" t="s"/>
      <c r="D8" s="603" t="s"/>
      <c r="E8" s="596" t="s">
        <v>38</v>
      </c>
      <c r="F8" s="561">
        <v>14</v>
      </c>
      <c r="G8" s="597">
        <v>7</v>
      </c>
      <c r="H8" s="598">
        <v>0.78</v>
      </c>
      <c r="I8" s="599">
        <f>=(F8-G8)/F8*100%</f>
        <v>0.5</v>
      </c>
      <c r="J8" s="559">
        <f>=H8/(G8-1)*(F8-G8)</f>
        <v>0.91</v>
      </c>
      <c r="K8" s="383" t="s"/>
      <c r="L8" s="384" t="s"/>
      <c r="M8" s="384" t="s"/>
      <c r="N8" s="384" t="s"/>
      <c r="O8" s="384" t="s"/>
      <c r="P8" s="384" t="s"/>
      <c r="Q8" s="384" t="s"/>
      <c r="R8" s="384" t="s"/>
      <c r="S8" s="384" t="s"/>
      <c r="T8" s="384" t="s"/>
      <c r="U8" s="384" t="s"/>
      <c r="V8" s="384" t="s"/>
      <c r="W8" s="384" t="s"/>
    </row>
    <row r="9" spans="2:23" s="619" customFormat="1" ht="37.5" customHeight="1">
      <c r="B9" s="604">
        <v>3</v>
      </c>
      <c r="C9" s="596" t="s">
        <v>96</v>
      </c>
      <c r="D9" s="605" t="s"/>
      <c r="E9" s="596" t="s">
        <v>97</v>
      </c>
      <c r="F9" s="561">
        <v>30</v>
      </c>
      <c r="G9" s="596">
        <v>12</v>
      </c>
      <c r="H9" s="562">
        <v>0.83</v>
      </c>
      <c r="I9" s="558">
        <f>=(F9-G9)/F9*100%</f>
        <v>0.6</v>
      </c>
      <c r="J9" s="559">
        <f>=H9/(G9-1)*(F9-G9)</f>
        <v>1.35818181818182</v>
      </c>
      <c r="K9" s="383" t="s"/>
      <c r="L9" s="606" t="s"/>
      <c r="M9" s="606" t="s"/>
      <c r="N9" s="606" t="s"/>
      <c r="O9" s="606" t="s"/>
      <c r="P9" s="606" t="s"/>
      <c r="Q9" s="606" t="s"/>
      <c r="R9" s="606" t="s"/>
      <c r="S9" s="606" t="s"/>
      <c r="T9" s="606" t="s"/>
      <c r="U9" s="606" t="s"/>
      <c r="V9" s="606" t="s"/>
      <c r="W9" s="606" t="s"/>
    </row>
    <row r="10" spans="1:23" s="619" customFormat="1" ht="37.5" customHeight="1">
      <c r="A10" s="207" t="s"/>
      <c r="B10" s="607" t="s"/>
      <c r="C10" s="605" t="s"/>
      <c r="D10" s="605" t="s"/>
      <c r="E10" s="596" t="s">
        <v>103</v>
      </c>
      <c r="F10" s="561">
        <v>30</v>
      </c>
      <c r="G10" s="596">
        <v>13</v>
      </c>
      <c r="H10" s="562">
        <v>0.94</v>
      </c>
      <c r="I10" s="558">
        <f>=(F10-G10)/F10*100%</f>
        <v>0.566666666666667</v>
      </c>
      <c r="J10" s="614" t="s">
        <v>421</v>
      </c>
      <c r="K10" s="608" t="s"/>
      <c r="L10" s="606" t="s"/>
      <c r="M10" s="606" t="s"/>
      <c r="N10" s="606" t="s"/>
      <c r="O10" s="606" t="s"/>
      <c r="P10" s="606" t="s"/>
      <c r="Q10" s="606" t="s"/>
      <c r="R10" s="606" t="s"/>
      <c r="S10" s="606" t="s"/>
      <c r="T10" s="606" t="s"/>
      <c r="U10" s="606" t="s"/>
      <c r="V10" s="606" t="s"/>
      <c r="W10" s="606" t="s"/>
    </row>
    <row r="11" spans="1:23" ht="37.5" customHeight="1">
      <c r="A11" s="207" t="s"/>
      <c r="B11" s="351">
        <v>4</v>
      </c>
      <c r="C11" s="563" t="s">
        <v>190</v>
      </c>
      <c r="D11" s="353" t="s"/>
      <c r="E11" s="564" t="s">
        <v>29</v>
      </c>
      <c r="F11" s="565">
        <v>24</v>
      </c>
      <c r="G11" s="564">
        <v>13</v>
      </c>
      <c r="H11" s="566">
        <v>1.01</v>
      </c>
      <c r="I11" s="567">
        <f>=(F11-G11)/F11*100%</f>
        <v>0.458333333333333</v>
      </c>
      <c r="J11" s="568">
        <f>=H11/(G11-1)*(F11-G11)</f>
        <v>0.925833333333333</v>
      </c>
      <c r="K11" s="613" t="s"/>
      <c r="L11" s="329" t="s"/>
      <c r="M11" s="329" t="s"/>
      <c r="N11" s="329" t="s"/>
      <c r="O11" s="329" t="s"/>
      <c r="P11" s="329" t="s"/>
      <c r="Q11" s="329" t="s"/>
      <c r="R11" s="329" t="s"/>
      <c r="S11" s="329" t="s"/>
      <c r="T11" s="329" t="s"/>
      <c r="U11" s="329" t="s"/>
      <c r="V11" s="329" t="s"/>
      <c r="W11" s="329" t="s"/>
    </row>
    <row r="12" spans="1:23" ht="37.5" customHeight="1">
      <c r="A12" s="207" t="s"/>
      <c r="B12" s="237" t="s"/>
      <c r="C12" s="354" t="s"/>
      <c r="D12" s="355" t="s"/>
      <c r="E12" s="564" t="s">
        <v>81</v>
      </c>
      <c r="F12" s="565">
        <v>26</v>
      </c>
      <c r="G12" s="564">
        <v>13</v>
      </c>
      <c r="H12" s="566">
        <v>1.01</v>
      </c>
      <c r="I12" s="567">
        <f>=(F12-G12)/F12*100%</f>
        <v>0.5</v>
      </c>
      <c r="J12" s="611">
        <f>=H12/(G12-1)*(F12-G12)</f>
        <v>1.09416666666667</v>
      </c>
      <c r="K12" s="332" t="s"/>
      <c r="L12" s="329" t="s"/>
      <c r="M12" s="329" t="s"/>
      <c r="N12" s="329" t="s"/>
      <c r="O12" s="329" t="s"/>
      <c r="P12" s="329" t="s"/>
      <c r="Q12" s="329" t="s"/>
      <c r="R12" s="329" t="s"/>
      <c r="S12" s="329" t="s"/>
      <c r="T12" s="329" t="s"/>
      <c r="U12" s="329" t="s"/>
      <c r="V12" s="329" t="s"/>
      <c r="W12" s="329" t="s"/>
    </row>
    <row r="13" spans="1:23" s="618" customFormat="1" ht="37.5" customHeight="1">
      <c r="A13" s="207" t="s"/>
      <c r="B13" s="356">
        <v>5</v>
      </c>
      <c r="C13" s="560" t="s">
        <v>343</v>
      </c>
      <c r="D13" s="358" t="s"/>
      <c r="E13" s="358" t="s"/>
      <c r="F13" s="561">
        <v>21</v>
      </c>
      <c r="G13" s="560">
        <v>12</v>
      </c>
      <c r="H13" s="562">
        <v>0.83</v>
      </c>
      <c r="I13" s="558">
        <f>=(F13-G13)/F13*100%</f>
        <v>0.428571428571429</v>
      </c>
      <c r="J13" s="610">
        <f>=H13/(G13-1)*(F13-G13)</f>
        <v>0.679090909090909</v>
      </c>
      <c r="K13" s="362" t="s"/>
      <c r="L13" s="329" t="s"/>
      <c r="M13" s="329" t="s"/>
      <c r="N13" s="329" t="s"/>
      <c r="O13" s="329" t="s"/>
      <c r="P13" s="329" t="s"/>
      <c r="Q13" s="329" t="s"/>
      <c r="R13" s="329" t="s"/>
      <c r="S13" s="329" t="s"/>
      <c r="T13" s="329" t="s"/>
      <c r="U13" s="329" t="s"/>
      <c r="V13" s="329" t="s"/>
      <c r="W13" s="329" t="s"/>
    </row>
    <row r="14" spans="1:23" s="620" ht="37.5" customHeight="1">
      <c r="A14" s="207" t="s"/>
      <c r="B14" s="363">
        <v>6</v>
      </c>
      <c r="C14" s="550" t="s">
        <v>418</v>
      </c>
      <c r="D14" s="334" t="s"/>
      <c r="E14" s="334" t="s"/>
      <c r="F14" s="551">
        <v>26</v>
      </c>
      <c r="G14" s="550">
        <v>15</v>
      </c>
      <c r="H14" s="552">
        <v>0.9</v>
      </c>
      <c r="I14" s="553">
        <f>=(F14-G14)/F14*100%</f>
        <v>0.423076923076923</v>
      </c>
      <c r="J14" s="612">
        <f>=H14/(G14-1)*(F14-G14)</f>
        <v>0.707142857142857</v>
      </c>
      <c r="K14" s="332" t="s"/>
      <c r="L14" s="367" t="s"/>
      <c r="M14" s="367" t="s"/>
      <c r="N14" s="367" t="s"/>
      <c r="O14" s="367" t="s"/>
      <c r="P14" s="367" t="s"/>
      <c r="Q14" s="367" t="s"/>
      <c r="R14" s="367" t="s"/>
      <c r="S14" s="367" t="s"/>
      <c r="T14" s="367" t="s"/>
      <c r="U14" s="367" t="s"/>
      <c r="V14" s="367" t="s"/>
      <c r="W14" s="367" t="s"/>
    </row>
    <row r="15" spans="1:23" s="620" ht="37.5" customHeight="1">
      <c r="A15" s="348" t="s"/>
      <c r="B15" s="368">
        <v>7</v>
      </c>
      <c r="C15" s="555" t="s">
        <v>128</v>
      </c>
      <c r="D15" s="370" t="s"/>
      <c r="E15" s="215" t="s"/>
      <c r="F15" s="556">
        <v>24</v>
      </c>
      <c r="G15" s="556">
        <v>16</v>
      </c>
      <c r="H15" s="557">
        <v>0.85</v>
      </c>
      <c r="I15" s="558">
        <f>=(F15-G15)/F15*100%</f>
        <v>0.333333333333333</v>
      </c>
      <c r="J15" s="610">
        <f>=H15/(G15-1)*(F15-G15)</f>
        <v>0.453333333333333</v>
      </c>
      <c r="K15" s="372" t="s"/>
      <c r="L15" s="373" t="s"/>
      <c r="M15" s="373" t="s"/>
      <c r="N15" s="373" t="s"/>
      <c r="O15" s="373" t="s"/>
      <c r="P15" s="373" t="s"/>
      <c r="Q15" s="373" t="s"/>
      <c r="R15" s="373" t="s"/>
      <c r="S15" s="373" t="s"/>
      <c r="T15" s="373" t="s"/>
      <c r="U15" s="373" t="s"/>
      <c r="V15" s="373" t="s"/>
      <c r="W15" s="373" t="s"/>
    </row>
    <row r="16" spans="1:23" s="620" ht="37.5" hidden="1" customHeight="1">
      <c r="A16" s="374" t="s"/>
      <c r="B16" s="368">
        <v>8</v>
      </c>
      <c r="C16" s="357" t="s">
        <v>345</v>
      </c>
      <c r="D16" s="358" t="s"/>
      <c r="E16" s="358" t="s"/>
      <c r="F16" s="150">
        <v>11</v>
      </c>
      <c r="G16" s="150">
        <v>8</v>
      </c>
      <c r="H16" s="375">
        <v>1</v>
      </c>
      <c r="I16" s="376">
        <f>=(F16-G16)/F16*100%</f>
        <v>0.272727272727273</v>
      </c>
      <c r="J16" s="361">
        <f>=H16/(G16-1)*(F16-G16)</f>
        <v>0.428571428571429</v>
      </c>
      <c r="K16" s="332" t="s"/>
      <c r="L16" s="329" t="s"/>
      <c r="M16" s="329" t="s"/>
      <c r="N16" s="329" t="s"/>
      <c r="O16" s="329" t="s"/>
      <c r="P16" s="329" t="s"/>
      <c r="Q16" s="329" t="s"/>
      <c r="R16" s="329" t="s"/>
      <c r="S16" s="329" t="s"/>
      <c r="T16" s="329" t="s"/>
      <c r="U16" s="329" t="s"/>
      <c r="V16" s="329" t="s"/>
      <c r="W16" s="329" t="s"/>
    </row>
    <row r="17" spans="1:23" ht="37.5" customHeight="1">
      <c r="A17" s="377" t="s">
        <v>308</v>
      </c>
      <c r="B17" s="363">
        <v>1</v>
      </c>
      <c r="C17" s="95" t="s">
        <v>200</v>
      </c>
      <c r="D17" s="378" t="s"/>
      <c r="E17" s="95" t="s">
        <v>346</v>
      </c>
      <c r="F17" s="96">
        <v>30</v>
      </c>
      <c r="G17" s="96">
        <v>10</v>
      </c>
      <c r="H17" s="364">
        <v>1.14</v>
      </c>
      <c r="I17" s="379">
        <f>=(F17-G17)/F17*100%</f>
        <v>0.666666666666667</v>
      </c>
      <c r="J17" s="366">
        <v>2.44</v>
      </c>
      <c r="K17" s="332" t="s"/>
      <c r="L17" s="329" t="s"/>
      <c r="M17" s="329" t="s"/>
      <c r="N17" s="329" t="s"/>
      <c r="O17" s="329" t="s"/>
      <c r="P17" s="329" t="s"/>
      <c r="Q17" s="329" t="s"/>
      <c r="R17" s="329" t="s"/>
      <c r="S17" s="329" t="s"/>
      <c r="T17" s="329" t="s"/>
      <c r="U17" s="329" t="s"/>
      <c r="V17" s="329" t="s"/>
      <c r="W17" s="329" t="s"/>
    </row>
    <row r="18" spans="1:23" ht="37.5" hidden="1" customHeight="1">
      <c r="A18" s="207" t="s"/>
      <c r="B18" s="380" t="s"/>
      <c r="C18" s="378" t="s"/>
      <c r="D18" s="378" t="s"/>
      <c r="E18" s="95" t="s">
        <v>181</v>
      </c>
      <c r="F18" s="96">
        <v>30</v>
      </c>
      <c r="G18" s="96">
        <v>10</v>
      </c>
      <c r="H18" s="364">
        <v>1.43</v>
      </c>
      <c r="I18" s="334" t="s"/>
      <c r="J18" s="366">
        <f>=H18/(G18-1)*(F18-G18)</f>
        <v>3.17777777777778</v>
      </c>
      <c r="K18" s="332" t="s"/>
      <c r="L18" s="329" t="s"/>
      <c r="M18" s="329" t="s"/>
      <c r="N18" s="329" t="s"/>
      <c r="O18" s="329" t="s"/>
      <c r="P18" s="329" t="s"/>
      <c r="Q18" s="329" t="s"/>
      <c r="R18" s="329" t="s"/>
      <c r="S18" s="329" t="s"/>
      <c r="T18" s="329" t="s"/>
      <c r="U18" s="329" t="s"/>
      <c r="V18" s="329" t="s"/>
      <c r="W18" s="329" t="s"/>
    </row>
    <row r="19" spans="1:23" ht="37.5" customHeight="1">
      <c r="A19" s="207" t="s"/>
      <c r="B19" s="368">
        <v>2</v>
      </c>
      <c r="C19" s="357" t="s">
        <v>347</v>
      </c>
      <c r="D19" s="381" t="s"/>
      <c r="E19" s="381" t="s"/>
      <c r="F19" s="156">
        <v>29</v>
      </c>
      <c r="G19" s="382">
        <v>10</v>
      </c>
      <c r="H19" s="375">
        <v>0.9</v>
      </c>
      <c r="I19" s="360">
        <f>=(F19-G19)/F19*100%</f>
        <v>0.655172413793104</v>
      </c>
      <c r="J19" s="361">
        <f>=H19/(G19-1)*(F19-G19)</f>
        <v>1.9</v>
      </c>
      <c r="K19" s="383" t="s"/>
      <c r="L19" s="384" t="s"/>
      <c r="M19" s="384" t="s"/>
      <c r="N19" s="384" t="s"/>
      <c r="O19" s="384" t="s"/>
      <c r="P19" s="384" t="s"/>
      <c r="Q19" s="384" t="s"/>
      <c r="R19" s="384" t="s"/>
      <c r="S19" s="384" t="s"/>
      <c r="T19" s="384" t="s"/>
      <c r="U19" s="384" t="s"/>
      <c r="V19" s="384" t="s"/>
      <c r="W19" s="384" t="s"/>
    </row>
    <row r="20" spans="1:23" ht="37.5" customHeight="1">
      <c r="A20" s="207" t="s"/>
      <c r="B20" s="363">
        <v>3</v>
      </c>
      <c r="C20" s="385" t="s">
        <v>108</v>
      </c>
      <c r="D20" s="386" t="s"/>
      <c r="E20" s="387" t="s"/>
      <c r="F20" s="145">
        <v>29</v>
      </c>
      <c r="G20" s="150">
        <v>10</v>
      </c>
      <c r="H20" s="375">
        <v>0.83</v>
      </c>
      <c r="I20" s="379">
        <f>=(F20-G20)/F20*100%</f>
        <v>0.655172413793104</v>
      </c>
      <c r="J20" s="361">
        <f>=H20/(G20-1)*(F20-G20)</f>
        <v>1.75222222222222</v>
      </c>
      <c r="K20" s="388" t="s"/>
      <c r="L20" s="389" t="s"/>
      <c r="M20" s="389" t="s"/>
      <c r="N20" s="389" t="s"/>
      <c r="O20" s="389" t="s"/>
      <c r="P20" s="389" t="s"/>
      <c r="Q20" s="389" t="s"/>
      <c r="R20" s="389" t="s"/>
      <c r="S20" s="389" t="s"/>
      <c r="T20" s="389" t="s"/>
      <c r="U20" s="389" t="s"/>
      <c r="V20" s="389" t="s"/>
      <c r="W20" s="389" t="s"/>
    </row>
    <row r="21" spans="1:23" ht="37.5" customHeight="1">
      <c r="A21" s="207" t="s"/>
      <c r="B21" s="368">
        <v>4</v>
      </c>
      <c r="C21" s="357" t="s">
        <v>133</v>
      </c>
      <c r="D21" s="381" t="s"/>
      <c r="E21" s="357" t="s">
        <v>134</v>
      </c>
      <c r="F21" s="150">
        <v>32</v>
      </c>
      <c r="G21" s="382">
        <v>12</v>
      </c>
      <c r="H21" s="375">
        <v>0.87</v>
      </c>
      <c r="I21" s="376">
        <f>=(F21-G21)/F21*100%</f>
        <v>0.625</v>
      </c>
      <c r="J21" s="361">
        <v>1.39</v>
      </c>
      <c r="K21" s="390" t="s"/>
      <c r="L21" s="391" t="s"/>
      <c r="M21" s="391" t="s"/>
      <c r="N21" s="391" t="s"/>
      <c r="O21" s="391" t="s"/>
      <c r="P21" s="391" t="s"/>
      <c r="Q21" s="391" t="s"/>
      <c r="R21" s="391" t="s"/>
      <c r="S21" s="391" t="s"/>
      <c r="T21" s="391" t="s"/>
      <c r="U21" s="391" t="s"/>
      <c r="V21" s="391" t="s"/>
      <c r="W21" s="391" t="s"/>
    </row>
    <row r="22" spans="1:23" ht="37.5" customHeight="1">
      <c r="A22" s="207" t="s"/>
      <c r="B22" s="392" t="s"/>
      <c r="C22" s="381" t="s"/>
      <c r="D22" s="381" t="s"/>
      <c r="E22" s="357" t="s">
        <v>139</v>
      </c>
      <c r="F22" s="150">
        <v>32</v>
      </c>
      <c r="G22" s="382">
        <v>12</v>
      </c>
      <c r="H22" s="375">
        <v>1.08</v>
      </c>
      <c r="I22" s="358" t="s"/>
      <c r="J22" s="361">
        <v>1.92</v>
      </c>
      <c r="K22" s="390" t="s"/>
      <c r="L22" s="391" t="s"/>
      <c r="M22" s="391" t="s"/>
      <c r="N22" s="391" t="s"/>
      <c r="O22" s="391" t="s"/>
      <c r="P22" s="391" t="s"/>
      <c r="Q22" s="391" t="s"/>
      <c r="R22" s="391" t="s"/>
      <c r="S22" s="391" t="s"/>
      <c r="T22" s="391" t="s"/>
      <c r="U22" s="391" t="s"/>
      <c r="V22" s="391" t="s"/>
      <c r="W22" s="391" t="s"/>
    </row>
    <row r="23" spans="1:23" ht="37.5" customHeight="1">
      <c r="A23" s="237" t="s"/>
      <c r="B23" s="368">
        <v>5</v>
      </c>
      <c r="C23" s="357" t="s">
        <v>177</v>
      </c>
      <c r="D23" s="381" t="s"/>
      <c r="E23" s="381" t="s"/>
      <c r="F23" s="156">
        <v>31</v>
      </c>
      <c r="G23" s="357">
        <v>14</v>
      </c>
      <c r="H23" s="359">
        <v>0.97</v>
      </c>
      <c r="I23" s="376">
        <f>=(F23-G23)/F23*100%</f>
        <v>0.548387096774194</v>
      </c>
      <c r="J23" s="361">
        <f>=H23/(G23-1)*(F23-G23)</f>
        <v>1.26846153846154</v>
      </c>
      <c r="K23" s="390" t="s"/>
      <c r="L23" s="391" t="s"/>
      <c r="M23" s="391" t="s"/>
      <c r="N23" s="391" t="s"/>
      <c r="O23" s="391" t="s"/>
      <c r="P23" s="391" t="s"/>
      <c r="Q23" s="391" t="s"/>
      <c r="R23" s="391" t="s"/>
      <c r="S23" s="391" t="s"/>
      <c r="T23" s="391" t="s"/>
      <c r="U23" s="391" t="s"/>
      <c r="V23" s="391" t="s"/>
      <c r="W23" s="391" t="s"/>
    </row>
    <row r="24" spans="1:23" s="620" ht="37.5" customHeight="1">
      <c r="A24" s="393" t="s">
        <v>315</v>
      </c>
      <c r="B24" s="368">
        <v>1</v>
      </c>
      <c r="C24" s="357" t="s">
        <v>21</v>
      </c>
      <c r="D24" s="381" t="s"/>
      <c r="E24" s="381" t="s"/>
      <c r="F24" s="394">
        <v>173</v>
      </c>
      <c r="G24" s="394">
        <v>15</v>
      </c>
      <c r="H24" s="359">
        <v>0.73</v>
      </c>
      <c r="I24" s="360">
        <f>=(F24-G24)/F24*100%</f>
        <v>0.913294797687861</v>
      </c>
      <c r="J24" s="361">
        <f>=H24/(G24-1)*(F24-G24)</f>
        <v>8.23857142857143</v>
      </c>
      <c r="K24" s="390" t="s"/>
      <c r="L24" s="391" t="s"/>
      <c r="M24" s="391" t="s"/>
      <c r="N24" s="391" t="s"/>
      <c r="O24" s="391" t="s"/>
      <c r="P24" s="391" t="s"/>
      <c r="Q24" s="391" t="s"/>
      <c r="R24" s="391" t="s"/>
      <c r="S24" s="391" t="s"/>
      <c r="T24" s="391" t="s"/>
      <c r="U24" s="391" t="s"/>
      <c r="V24" s="391" t="s"/>
      <c r="W24" s="391" t="s"/>
    </row>
    <row r="25" spans="1:23" s="620" ht="37.5" customHeight="1">
      <c r="A25" s="207" t="s"/>
      <c r="B25" s="368">
        <v>2</v>
      </c>
      <c r="C25" s="357" t="s">
        <v>170</v>
      </c>
      <c r="D25" s="381" t="s"/>
      <c r="E25" s="357" t="s">
        <v>171</v>
      </c>
      <c r="F25" s="150">
        <v>40</v>
      </c>
      <c r="G25" s="382">
        <v>7</v>
      </c>
      <c r="H25" s="375">
        <v>0.92</v>
      </c>
      <c r="I25" s="376">
        <f>=(F25-G25)/F25*100%</f>
        <v>0.825</v>
      </c>
      <c r="J25" s="361">
        <f>=H25/(G25-1)*(F25-G25)</f>
        <v>5.06</v>
      </c>
      <c r="K25" s="395" t="s"/>
      <c r="L25" s="396" t="s"/>
      <c r="M25" s="396" t="s"/>
      <c r="N25" s="396" t="s"/>
      <c r="O25" s="396" t="s"/>
      <c r="P25" s="396" t="s"/>
      <c r="Q25" s="396" t="s"/>
      <c r="R25" s="396" t="s"/>
      <c r="S25" s="396" t="s"/>
      <c r="T25" s="396" t="s"/>
      <c r="U25" s="396" t="s"/>
      <c r="V25" s="396" t="s"/>
      <c r="W25" s="396" t="s"/>
    </row>
    <row r="26" spans="1:23" ht="37.5" customHeight="1">
      <c r="A26" s="207" t="s"/>
      <c r="B26" s="392" t="s"/>
      <c r="C26" s="381" t="s"/>
      <c r="D26" s="381" t="s"/>
      <c r="E26" s="357" t="s">
        <v>75</v>
      </c>
      <c r="F26" s="150">
        <v>40</v>
      </c>
      <c r="G26" s="382">
        <v>7</v>
      </c>
      <c r="H26" s="375">
        <v>1.2</v>
      </c>
      <c r="I26" s="358" t="s"/>
      <c r="J26" s="361">
        <f>=H26/(G26-1)*(F26-G26)</f>
        <v>6.6</v>
      </c>
      <c r="K26" s="395" t="s"/>
      <c r="L26" s="396" t="s"/>
      <c r="M26" s="396" t="s"/>
      <c r="N26" s="396" t="s"/>
      <c r="O26" s="396" t="s"/>
      <c r="P26" s="396" t="s"/>
      <c r="Q26" s="396" t="s"/>
      <c r="R26" s="396" t="s"/>
      <c r="S26" s="396" t="s"/>
      <c r="T26" s="396" t="s"/>
      <c r="U26" s="396" t="s"/>
      <c r="V26" s="396" t="s"/>
      <c r="W26" s="396" t="s"/>
    </row>
    <row r="27" spans="1:23" ht="37.5" customHeight="1">
      <c r="A27" s="207" t="s"/>
      <c r="B27" s="397">
        <v>3</v>
      </c>
      <c r="C27" s="398" t="s">
        <v>187</v>
      </c>
      <c r="D27" s="342" t="s"/>
      <c r="E27" s="399" t="s">
        <v>29</v>
      </c>
      <c r="F27" s="156">
        <v>50</v>
      </c>
      <c r="G27" s="382">
        <v>10</v>
      </c>
      <c r="H27" s="375">
        <v>1.02</v>
      </c>
      <c r="I27" s="360">
        <f>=(F27-G27)/F27*100%</f>
        <v>0.8</v>
      </c>
      <c r="J27" s="361">
        <f>=H27/(G27-1)*(F27-G27)</f>
        <v>4.53333333333333</v>
      </c>
      <c r="K27" s="395" t="s"/>
      <c r="L27" s="396" t="s"/>
      <c r="M27" s="396" t="s"/>
      <c r="N27" s="396" t="s"/>
      <c r="O27" s="396" t="s"/>
      <c r="P27" s="396" t="s"/>
      <c r="Q27" s="396" t="s"/>
      <c r="R27" s="396" t="s"/>
      <c r="S27" s="396" t="s"/>
      <c r="T27" s="396" t="s"/>
      <c r="U27" s="396" t="s"/>
      <c r="V27" s="396" t="s"/>
      <c r="W27" s="396" t="s"/>
    </row>
    <row r="28" spans="1:23" ht="37.5" hidden="1" customHeight="1">
      <c r="A28" s="207" t="s"/>
      <c r="B28" s="237" t="s"/>
      <c r="C28" s="400" t="s"/>
      <c r="D28" s="401" t="s"/>
      <c r="E28" s="51" t="s">
        <v>81</v>
      </c>
      <c r="F28" s="156">
        <v>52</v>
      </c>
      <c r="G28" s="382">
        <v>10</v>
      </c>
      <c r="H28" s="375">
        <v>1.02</v>
      </c>
      <c r="I28" s="360">
        <f>=(F28-G28)/F28*100%</f>
        <v>0.807692307692308</v>
      </c>
      <c r="J28" s="361">
        <f>=H28/(G28-1)*(F28-G28)</f>
        <v>4.76</v>
      </c>
      <c r="K28" s="395" t="s"/>
      <c r="L28" s="396" t="s"/>
      <c r="M28" s="396" t="s"/>
      <c r="N28" s="396" t="s"/>
      <c r="O28" s="396" t="s"/>
      <c r="P28" s="396" t="s"/>
      <c r="Q28" s="396" t="s"/>
      <c r="R28" s="396" t="s"/>
      <c r="S28" s="396" t="s"/>
      <c r="T28" s="396" t="s"/>
      <c r="U28" s="396" t="s"/>
      <c r="V28" s="396" t="s"/>
      <c r="W28" s="396" t="s"/>
    </row>
    <row r="29" spans="1:23" ht="37.5" customHeight="1">
      <c r="A29" s="207" t="s"/>
      <c r="B29" s="547">
        <v>4</v>
      </c>
      <c r="C29" s="403" t="s">
        <v>414</v>
      </c>
      <c r="D29" s="72" t="s"/>
      <c r="E29" s="72" t="s"/>
      <c r="F29" s="404">
        <v>28</v>
      </c>
      <c r="G29" s="404">
        <v>9</v>
      </c>
      <c r="H29" s="405">
        <v>0.82</v>
      </c>
      <c r="I29" s="406">
        <f>=(F29-G29)/F29*100%</f>
        <v>0.678571428571429</v>
      </c>
      <c r="J29" s="407">
        <f>=H29/(G29-1)*(F29-G29)</f>
        <v>1.9475</v>
      </c>
      <c r="K29" s="408" t="s"/>
      <c r="L29" s="409" t="s"/>
      <c r="M29" s="409" t="s"/>
      <c r="N29" s="409" t="s"/>
      <c r="O29" s="409" t="s"/>
      <c r="P29" s="409" t="s"/>
      <c r="Q29" s="409" t="s"/>
      <c r="R29" s="409" t="s"/>
      <c r="S29" s="409" t="s"/>
      <c r="T29" s="409" t="s"/>
      <c r="U29" s="409" t="s"/>
      <c r="V29" s="409" t="s"/>
      <c r="W29" s="409" t="s"/>
    </row>
    <row r="30" spans="1:23" ht="37.5" customHeight="1">
      <c r="A30" s="410" t="s"/>
      <c r="B30" s="237" t="s"/>
      <c r="C30" s="403" t="s">
        <v>348</v>
      </c>
      <c r="D30" s="72" t="s"/>
      <c r="E30" s="72" t="s"/>
      <c r="F30" s="404">
        <v>28</v>
      </c>
      <c r="G30" s="404">
        <v>10</v>
      </c>
      <c r="H30" s="405">
        <v>0.92</v>
      </c>
      <c r="I30" s="406">
        <f>=(F30-G30)/F30*100%</f>
        <v>0.642857142857143</v>
      </c>
      <c r="J30" s="407">
        <f>=H30/(G30-1)*(F30-G30)</f>
        <v>1.84</v>
      </c>
      <c r="K30" s="413" t="s"/>
      <c r="L30" s="417" t="s"/>
      <c r="M30" s="417" t="s"/>
      <c r="N30" s="417" t="s"/>
      <c r="O30" s="417" t="s"/>
      <c r="P30" s="417" t="s"/>
      <c r="Q30" s="417" t="s"/>
      <c r="R30" s="417" t="s"/>
      <c r="S30" s="417" t="s"/>
      <c r="T30" s="417" t="s"/>
      <c r="U30" s="417" t="s"/>
      <c r="V30" s="417" t="s"/>
      <c r="W30" s="417" t="s"/>
    </row>
    <row r="31" spans="1:23" ht="37.5" customHeight="1">
      <c r="A31" s="207" t="s"/>
      <c r="B31" s="323">
        <v>5</v>
      </c>
      <c r="C31" s="418" t="s">
        <v>46</v>
      </c>
      <c r="D31" s="419" t="s"/>
      <c r="E31" s="418" t="s">
        <v>75</v>
      </c>
      <c r="F31" s="420">
        <v>48</v>
      </c>
      <c r="G31" s="421">
        <v>13</v>
      </c>
      <c r="H31" s="422">
        <v>1.33</v>
      </c>
      <c r="I31" s="423">
        <f>=(F31-G31)/F31*100%</f>
        <v>0.729166666666667</v>
      </c>
      <c r="J31" s="424">
        <v>1.48</v>
      </c>
      <c r="K31" s="408" t="s"/>
      <c r="L31" s="391" t="s"/>
      <c r="M31" s="391" t="s"/>
      <c r="N31" s="391" t="s"/>
      <c r="O31" s="391" t="s"/>
      <c r="P31" s="391" t="s"/>
      <c r="Q31" s="391" t="s"/>
      <c r="R31" s="391" t="s"/>
      <c r="S31" s="391" t="s"/>
      <c r="T31" s="391" t="s"/>
      <c r="U31" s="391" t="s"/>
      <c r="V31" s="391" t="s"/>
      <c r="W31" s="391" t="s"/>
    </row>
    <row r="32" spans="1:23" ht="37.5" customHeight="1">
      <c r="A32" s="207" t="s"/>
      <c r="B32" s="330" t="s"/>
      <c r="C32" s="419" t="s"/>
      <c r="D32" s="419" t="s"/>
      <c r="E32" s="418" t="s">
        <v>349</v>
      </c>
      <c r="F32" s="420">
        <v>48</v>
      </c>
      <c r="G32" s="421">
        <v>13</v>
      </c>
      <c r="H32" s="422">
        <v>1.07</v>
      </c>
      <c r="I32" s="331" t="s"/>
      <c r="J32" s="424">
        <v>1.46</v>
      </c>
      <c r="K32" s="408" t="s"/>
      <c r="L32" s="391" t="s"/>
      <c r="M32" s="391" t="s"/>
      <c r="N32" s="391" t="s"/>
      <c r="O32" s="391" t="s"/>
      <c r="P32" s="391" t="s"/>
      <c r="Q32" s="391" t="s"/>
      <c r="R32" s="391" t="s"/>
      <c r="S32" s="391" t="s"/>
      <c r="T32" s="391" t="s"/>
      <c r="U32" s="391" t="s"/>
      <c r="V32" s="391" t="s"/>
      <c r="W32" s="391" t="s"/>
    </row>
    <row r="33" spans="1:23" ht="37.5" customHeight="1">
      <c r="A33" s="425" t="s">
        <v>300</v>
      </c>
      <c r="B33" s="368">
        <v>1</v>
      </c>
      <c r="C33" s="426" t="s">
        <v>235</v>
      </c>
      <c r="D33" s="381" t="s"/>
      <c r="E33" s="426" t="s">
        <v>64</v>
      </c>
      <c r="F33" s="427">
        <v>5</v>
      </c>
      <c r="G33" s="428">
        <v>3</v>
      </c>
      <c r="H33" s="429">
        <v>2.12</v>
      </c>
      <c r="I33" s="430">
        <f>=(F33-G33)/F33*100%</f>
        <v>0.4</v>
      </c>
      <c r="J33" s="431">
        <f>=H33/(G33-1)*(F33-G33)</f>
        <v>2.12</v>
      </c>
      <c r="K33" s="395" t="s"/>
      <c r="L33" s="396" t="s"/>
      <c r="M33" s="396" t="s"/>
      <c r="N33" s="396" t="s"/>
      <c r="O33" s="396" t="s"/>
      <c r="P33" s="396" t="s"/>
      <c r="Q33" s="396" t="s"/>
      <c r="R33" s="396" t="s"/>
      <c r="S33" s="396" t="s"/>
      <c r="T33" s="396" t="s"/>
      <c r="U33" s="396" t="s"/>
      <c r="V33" s="396" t="s"/>
      <c r="W33" s="396" t="s"/>
    </row>
    <row r="34" spans="1:23" s="618" customFormat="1" ht="37.5" customHeight="1">
      <c r="A34" s="207" t="s"/>
      <c r="B34" s="397">
        <v>2</v>
      </c>
      <c r="C34" s="432" t="s">
        <v>350</v>
      </c>
      <c r="D34" s="342" t="s"/>
      <c r="E34" s="426" t="s">
        <v>64</v>
      </c>
      <c r="F34" s="427">
        <v>10</v>
      </c>
      <c r="G34" s="433">
        <v>4</v>
      </c>
      <c r="H34" s="429">
        <v>0.86</v>
      </c>
      <c r="I34" s="434">
        <f>=(F34-G34)/F34*100%</f>
        <v>0.6</v>
      </c>
      <c r="J34" s="431">
        <f>=H34/(G34-1)*(F34-G34)</f>
        <v>1.72</v>
      </c>
      <c r="K34" s="395" t="s"/>
      <c r="L34" s="435" t="s"/>
      <c r="M34" s="435" t="s"/>
      <c r="N34" s="435" t="s"/>
      <c r="O34" s="435" t="s"/>
      <c r="P34" s="435" t="s"/>
      <c r="Q34" s="435" t="s"/>
      <c r="R34" s="435" t="s"/>
      <c r="S34" s="435" t="s"/>
      <c r="T34" s="435" t="s"/>
      <c r="U34" s="435" t="s"/>
      <c r="V34" s="435" t="s"/>
      <c r="W34" s="435" t="s"/>
    </row>
    <row r="35" spans="1:23" s="619" customFormat="1" ht="37.5" customHeight="1">
      <c r="A35" s="436" t="s"/>
      <c r="B35" s="348" t="s"/>
      <c r="C35" s="349" t="s"/>
      <c r="D35" s="401" t="s"/>
      <c r="E35" s="426" t="s">
        <v>351</v>
      </c>
      <c r="F35" s="427">
        <v>12</v>
      </c>
      <c r="G35" s="433">
        <v>4</v>
      </c>
      <c r="H35" s="429">
        <v>0.81</v>
      </c>
      <c r="I35" s="434">
        <f>=(F35-G35)/F35*100%</f>
        <v>0.666666666666667</v>
      </c>
      <c r="J35" s="431">
        <f>=H35/(G35-1)*(F35-G35)</f>
        <v>2.16</v>
      </c>
      <c r="K35" s="395" t="s"/>
      <c r="L35" s="435" t="s"/>
      <c r="M35" s="435" t="s"/>
      <c r="N35" s="435" t="s"/>
      <c r="O35" s="435" t="s"/>
      <c r="P35" s="435" t="s"/>
      <c r="Q35" s="435" t="s"/>
      <c r="R35" s="435" t="s"/>
      <c r="S35" s="435" t="s"/>
      <c r="T35" s="435" t="s"/>
      <c r="U35" s="435" t="s"/>
      <c r="V35" s="435" t="s"/>
      <c r="W35" s="435" t="s"/>
    </row>
    <row r="36" spans="1:23" ht="37.5" customHeight="1">
      <c r="A36" s="207" t="s"/>
      <c r="B36" s="397">
        <v>3</v>
      </c>
      <c r="C36" s="437" t="s">
        <v>209</v>
      </c>
      <c r="D36" s="438" t="s">
        <v>29</v>
      </c>
      <c r="E36" s="426" t="s">
        <v>64</v>
      </c>
      <c r="F36" s="427">
        <v>5</v>
      </c>
      <c r="G36" s="428">
        <v>3</v>
      </c>
      <c r="H36" s="429">
        <v>1.52</v>
      </c>
      <c r="I36" s="430">
        <f>=(F36-G36)/F36*100%</f>
        <v>0.4</v>
      </c>
      <c r="J36" s="431">
        <f>=H36/(G36-1)*(F36-G36)</f>
        <v>1.52</v>
      </c>
      <c r="K36" s="395" t="s"/>
      <c r="L36" s="396" t="s"/>
      <c r="M36" s="396" t="s"/>
      <c r="N36" s="396" t="s"/>
      <c r="O36" s="396" t="s"/>
      <c r="P36" s="396" t="s"/>
      <c r="Q36" s="396" t="s"/>
      <c r="R36" s="396" t="s"/>
      <c r="S36" s="396" t="s"/>
      <c r="T36" s="396" t="s"/>
      <c r="U36" s="396" t="s"/>
      <c r="V36" s="396" t="s"/>
      <c r="W36" s="396" t="s"/>
    </row>
    <row r="37" spans="1:23" ht="37.5" customHeight="1">
      <c r="A37" s="207" t="s"/>
      <c r="B37" s="348" t="s"/>
      <c r="C37" s="348" t="s"/>
      <c r="D37" s="404" t="s">
        <v>81</v>
      </c>
      <c r="E37" s="426" t="s">
        <v>64</v>
      </c>
      <c r="F37" s="427">
        <v>6</v>
      </c>
      <c r="G37" s="428">
        <v>3</v>
      </c>
      <c r="H37" s="429">
        <v>1.41</v>
      </c>
      <c r="I37" s="430">
        <f>=(F37-G37)/F37*100%</f>
        <v>0.5</v>
      </c>
      <c r="J37" s="416">
        <f>=H37/(G37-1)*(F37-G37)</f>
        <v>2.115</v>
      </c>
      <c r="K37" s="395" t="s"/>
      <c r="L37" s="396" t="s"/>
      <c r="M37" s="396" t="s"/>
      <c r="N37" s="396" t="s"/>
      <c r="O37" s="396" t="s"/>
      <c r="P37" s="396" t="s"/>
      <c r="Q37" s="396" t="s"/>
      <c r="R37" s="396" t="s"/>
      <c r="S37" s="396" t="s"/>
      <c r="T37" s="396" t="s"/>
      <c r="U37" s="396" t="s"/>
      <c r="V37" s="396" t="s"/>
      <c r="W37" s="396" t="s"/>
    </row>
    <row r="38" spans="1:11" ht="37.5" customHeight="1">
      <c r="A38" s="207" t="s"/>
      <c r="B38" s="439">
        <v>4</v>
      </c>
      <c r="C38" s="440" t="s">
        <v>122</v>
      </c>
      <c r="D38" s="438" t="s">
        <v>29</v>
      </c>
      <c r="E38" s="441" t="s">
        <v>64</v>
      </c>
      <c r="F38" s="442">
        <v>8</v>
      </c>
      <c r="G38" s="443">
        <v>4</v>
      </c>
      <c r="H38" s="444">
        <v>0.89</v>
      </c>
      <c r="I38" s="445">
        <f>=(F38-G38)/F38*100%</f>
        <v>0.5</v>
      </c>
      <c r="J38" s="446">
        <f>=H38/(G38-1)*(F38-G38)</f>
        <v>1.18666666666667</v>
      </c>
      <c r="K38" s="447" t="s"/>
    </row>
    <row r="39" spans="1:11" ht="37.5" customHeight="1">
      <c r="A39" s="207" t="s"/>
      <c r="B39" s="237" t="s"/>
      <c r="C39" s="237" t="s"/>
      <c r="D39" s="404" t="s">
        <v>38</v>
      </c>
      <c r="E39" s="441" t="s">
        <v>64</v>
      </c>
      <c r="F39" s="443">
        <v>8</v>
      </c>
      <c r="G39" s="443">
        <v>4</v>
      </c>
      <c r="H39" s="444">
        <v>0.84</v>
      </c>
      <c r="I39" s="445">
        <f>=(F39-G39)/F39*100%</f>
        <v>0.5</v>
      </c>
      <c r="J39" s="446">
        <f>=H39/(G39-1)*(F39-G39)</f>
        <v>1.12</v>
      </c>
      <c r="K39" s="447" t="s"/>
    </row>
    <row r="40" spans="1:23" s="618" customFormat="1" ht="37.5" hidden="1" customHeight="1">
      <c r="A40" s="207" t="s"/>
      <c r="B40" s="397">
        <v>5</v>
      </c>
      <c r="C40" s="426" t="s">
        <v>352</v>
      </c>
      <c r="D40" s="358" t="s"/>
      <c r="E40" s="426" t="s">
        <v>64</v>
      </c>
      <c r="F40" s="427">
        <v>5</v>
      </c>
      <c r="G40" s="427">
        <v>4</v>
      </c>
      <c r="H40" s="429">
        <v>0.95</v>
      </c>
      <c r="I40" s="430">
        <f>=(F40-G40)/F40*100%</f>
        <v>0.2</v>
      </c>
      <c r="J40" s="431">
        <f>=H40/(G40-1)*(F40-G40)</f>
        <v>0.316666666666667</v>
      </c>
      <c r="K40" s="395" t="s"/>
      <c r="L40" s="448" t="s"/>
      <c r="M40" s="448" t="s"/>
      <c r="N40" s="448" t="s"/>
      <c r="O40" s="448" t="s"/>
      <c r="P40" s="448" t="s"/>
      <c r="Q40" s="448" t="s"/>
      <c r="R40" s="448" t="s"/>
      <c r="S40" s="448" t="s"/>
      <c r="T40" s="448" t="s"/>
      <c r="U40" s="448" t="s"/>
      <c r="V40" s="448" t="s"/>
      <c r="W40" s="448" t="s"/>
    </row>
    <row r="41" spans="1:23" s="618" customFormat="1" ht="37.5" hidden="1" customHeight="1">
      <c r="A41" s="348" t="s"/>
      <c r="B41" s="348" t="s"/>
      <c r="C41" s="432" t="s"/>
      <c r="D41" s="449" t="s"/>
      <c r="E41" s="450" t="s"/>
      <c r="F41" s="451" t="s"/>
      <c r="G41" s="452" t="s"/>
      <c r="H41" s="453" t="s"/>
      <c r="I41" s="454" t="s"/>
      <c r="J41" s="416" t="s"/>
      <c r="K41" s="455" t="s"/>
      <c r="L41" s="448" t="s"/>
      <c r="M41" s="448" t="s"/>
      <c r="N41" s="448" t="s"/>
      <c r="O41" s="448" t="s"/>
      <c r="P41" s="448" t="s"/>
      <c r="Q41" s="448" t="s"/>
      <c r="R41" s="448" t="s"/>
      <c r="S41" s="448" t="s"/>
      <c r="T41" s="448" t="s"/>
      <c r="U41" s="448" t="s"/>
      <c r="V41" s="448" t="s"/>
      <c r="W41" s="448" t="s"/>
    </row>
    <row r="42" spans="1:23" ht="37.5" customHeight="1">
      <c r="A42" s="377" t="s">
        <v>324</v>
      </c>
      <c r="B42" s="397">
        <v>1</v>
      </c>
      <c r="C42" s="432" t="s">
        <v>353</v>
      </c>
      <c r="D42" s="342" t="s"/>
      <c r="E42" s="426" t="s">
        <v>354</v>
      </c>
      <c r="F42" s="437">
        <v>40</v>
      </c>
      <c r="G42" s="426">
        <v>3</v>
      </c>
      <c r="H42" s="456">
        <v>1.52</v>
      </c>
      <c r="I42" s="457">
        <f>=(F42-G42)/F42*100%</f>
        <v>0.925</v>
      </c>
      <c r="J42" s="431">
        <f>=H42/(G42-1)*(F42-G42)</f>
        <v>28.12</v>
      </c>
      <c r="K42" s="458" t="s"/>
      <c r="L42" s="396" t="s"/>
      <c r="M42" s="396" t="s"/>
      <c r="N42" s="396" t="s"/>
      <c r="O42" s="396" t="s"/>
      <c r="P42" s="396" t="s"/>
      <c r="Q42" s="396" t="s"/>
      <c r="R42" s="396" t="s"/>
      <c r="S42" s="396" t="s"/>
      <c r="T42" s="396" t="s"/>
      <c r="U42" s="396" t="s"/>
      <c r="V42" s="396" t="s"/>
      <c r="W42" s="396" t="s"/>
    </row>
    <row r="43" spans="1:23" ht="37.5" customHeight="1">
      <c r="A43" s="207" t="s"/>
      <c r="B43" s="237" t="s"/>
      <c r="C43" s="400" t="s"/>
      <c r="D43" s="401" t="s"/>
      <c r="E43" s="426" t="s">
        <v>355</v>
      </c>
      <c r="F43" s="237" t="s"/>
      <c r="G43" s="426">
        <v>4</v>
      </c>
      <c r="H43" s="456">
        <v>2.28</v>
      </c>
      <c r="I43" s="457">
        <f>=(F42-G43)/F42*100%</f>
        <v>0.9</v>
      </c>
      <c r="J43" s="431">
        <f>=H43/(G43-1)*(F42-G43)</f>
        <v>27.36</v>
      </c>
      <c r="K43" s="237" t="s"/>
      <c r="L43" s="396" t="s"/>
      <c r="M43" s="396" t="s"/>
      <c r="N43" s="396" t="s"/>
      <c r="O43" s="396" t="s"/>
      <c r="P43" s="396" t="s"/>
      <c r="Q43" s="396" t="s"/>
      <c r="R43" s="396" t="s"/>
      <c r="S43" s="396" t="s"/>
      <c r="T43" s="396" t="s"/>
      <c r="U43" s="396" t="s"/>
      <c r="V43" s="396" t="s"/>
      <c r="W43" s="396" t="s"/>
    </row>
    <row r="44" spans="1:23" s="620" ht="37.5" customHeight="1">
      <c r="A44" s="207" t="s"/>
      <c r="B44" s="397">
        <v>2</v>
      </c>
      <c r="C44" s="459" t="s">
        <v>219</v>
      </c>
      <c r="D44" s="342" t="s"/>
      <c r="E44" s="426" t="s">
        <v>220</v>
      </c>
      <c r="F44" s="428">
        <v>10</v>
      </c>
      <c r="G44" s="428">
        <v>4</v>
      </c>
      <c r="H44" s="429">
        <v>2.08</v>
      </c>
      <c r="I44" s="430">
        <f>=(F44-G44)/F44*100%</f>
        <v>0.6</v>
      </c>
      <c r="J44" s="431">
        <f>=H44/(G44-1)*(F44-G44)</f>
        <v>4.16</v>
      </c>
      <c r="K44" s="395" t="s"/>
      <c r="L44" s="396" t="s"/>
      <c r="M44" s="396" t="s"/>
      <c r="N44" s="396" t="s"/>
      <c r="O44" s="396" t="s"/>
      <c r="P44" s="396" t="s"/>
      <c r="Q44" s="396" t="s"/>
      <c r="R44" s="396" t="s"/>
      <c r="S44" s="396" t="s"/>
      <c r="T44" s="396" t="s"/>
      <c r="U44" s="396" t="s"/>
      <c r="V44" s="396" t="s"/>
      <c r="W44" s="396" t="s"/>
    </row>
    <row r="45" spans="1:23" s="620" ht="37.5" customHeight="1">
      <c r="A45" s="436" t="s"/>
      <c r="B45" s="237" t="s"/>
      <c r="C45" s="400" t="s"/>
      <c r="D45" s="401" t="s"/>
      <c r="E45" s="426" t="s">
        <v>356</v>
      </c>
      <c r="F45" s="428">
        <v>10</v>
      </c>
      <c r="G45" s="428">
        <v>4</v>
      </c>
      <c r="H45" s="429">
        <v>1.68</v>
      </c>
      <c r="I45" s="430">
        <f>=(F45-G45)/F45*100%</f>
        <v>0.6</v>
      </c>
      <c r="J45" s="431">
        <f>=H45/(G45-1)*(F45-G45)</f>
        <v>3.36</v>
      </c>
      <c r="K45" s="395" t="s"/>
      <c r="L45" s="396" t="s"/>
      <c r="M45" s="396" t="s"/>
      <c r="N45" s="396" t="s"/>
      <c r="O45" s="396" t="s"/>
      <c r="P45" s="396" t="s"/>
      <c r="Q45" s="396" t="s"/>
      <c r="R45" s="396" t="s"/>
      <c r="S45" s="396" t="s"/>
      <c r="T45" s="396" t="s"/>
      <c r="U45" s="396" t="s"/>
      <c r="V45" s="396" t="s"/>
      <c r="W45" s="396" t="s"/>
    </row>
    <row r="46" spans="1:23" s="618" customFormat="1" ht="37.5" customHeight="1">
      <c r="A46" s="207" t="s"/>
      <c r="B46" s="368">
        <v>3</v>
      </c>
      <c r="C46" s="426" t="s">
        <v>180</v>
      </c>
      <c r="D46" s="381" t="s"/>
      <c r="E46" s="381" t="s"/>
      <c r="F46" s="460">
        <v>20</v>
      </c>
      <c r="G46" s="460">
        <v>6</v>
      </c>
      <c r="H46" s="456">
        <v>1.23</v>
      </c>
      <c r="I46" s="430">
        <f>=(F46-G46)/F46*100%</f>
        <v>0.7</v>
      </c>
      <c r="J46" s="431">
        <f>=H46/(G46-1)*(F46-G46)</f>
        <v>3.444</v>
      </c>
      <c r="K46" s="395" t="s"/>
      <c r="L46" s="448" t="s"/>
      <c r="M46" s="448" t="s"/>
      <c r="N46" s="448" t="s"/>
      <c r="O46" s="448" t="s"/>
      <c r="P46" s="448" t="s"/>
      <c r="Q46" s="448" t="s"/>
      <c r="R46" s="448" t="s"/>
      <c r="S46" s="448" t="s"/>
      <c r="T46" s="448" t="s"/>
      <c r="U46" s="448" t="s"/>
      <c r="V46" s="448" t="s"/>
      <c r="W46" s="448" t="s"/>
    </row>
    <row r="47" spans="1:23" ht="37.5" customHeight="1">
      <c r="A47" s="207" t="s"/>
      <c r="B47" s="368">
        <v>4</v>
      </c>
      <c r="C47" s="426" t="s">
        <v>228</v>
      </c>
      <c r="D47" s="381" t="s"/>
      <c r="E47" s="426" t="s">
        <v>229</v>
      </c>
      <c r="F47" s="428">
        <v>10</v>
      </c>
      <c r="G47" s="427">
        <v>5</v>
      </c>
      <c r="H47" s="429">
        <v>1.72</v>
      </c>
      <c r="I47" s="430">
        <f>=(F47-G47)/F47*100%</f>
        <v>0.5</v>
      </c>
      <c r="J47" s="431">
        <f>=H47/(G47-1)*(F47-G47)</f>
        <v>2.15</v>
      </c>
      <c r="K47" s="395" t="s"/>
      <c r="L47" s="396" t="s"/>
      <c r="M47" s="396" t="s"/>
      <c r="N47" s="396" t="s"/>
      <c r="O47" s="396" t="s"/>
      <c r="P47" s="396" t="s"/>
      <c r="Q47" s="396" t="s"/>
      <c r="R47" s="396" t="s"/>
      <c r="S47" s="396" t="s"/>
      <c r="T47" s="396" t="s"/>
      <c r="U47" s="396" t="s"/>
      <c r="V47" s="396" t="s"/>
      <c r="W47" s="396" t="s"/>
    </row>
    <row r="48" spans="1:23" ht="37.5" customHeight="1">
      <c r="A48" s="348" t="s"/>
      <c r="B48" s="461" t="s"/>
      <c r="C48" s="462" t="s"/>
      <c r="D48" s="462" t="s"/>
      <c r="E48" s="437" t="s">
        <v>75</v>
      </c>
      <c r="F48" s="463">
        <v>10</v>
      </c>
      <c r="G48" s="464">
        <v>5</v>
      </c>
      <c r="H48" s="465">
        <v>1.72</v>
      </c>
      <c r="I48" s="466" t="s"/>
      <c r="J48" s="467">
        <f>=H48/(G48-1)*(F48-G48)</f>
        <v>2.15</v>
      </c>
      <c r="K48" s="458" t="s"/>
      <c r="L48" s="396" t="s"/>
      <c r="M48" s="396" t="s"/>
      <c r="N48" s="396" t="s"/>
      <c r="O48" s="396" t="s"/>
      <c r="P48" s="396" t="s"/>
      <c r="Q48" s="396" t="s"/>
      <c r="R48" s="396" t="s"/>
      <c r="S48" s="396" t="s"/>
      <c r="T48" s="396" t="s"/>
      <c r="U48" s="396" t="s"/>
      <c r="V48" s="396" t="s"/>
      <c r="W48" s="396" t="s"/>
    </row>
    <row r="49" spans="1:23" s="618" customFormat="1" ht="37.5" customHeight="1">
      <c r="A49" s="468" t="s">
        <v>329</v>
      </c>
      <c r="B49" s="368">
        <v>1</v>
      </c>
      <c r="C49" s="426" t="s">
        <v>245</v>
      </c>
      <c r="D49" s="381" t="s"/>
      <c r="E49" s="381" t="s"/>
      <c r="F49" s="428">
        <v>12</v>
      </c>
      <c r="G49" s="428">
        <v>4</v>
      </c>
      <c r="H49" s="429">
        <v>2.3</v>
      </c>
      <c r="I49" s="430">
        <f>=(F49-G49)/F49*100%</f>
        <v>0.666666666666667</v>
      </c>
      <c r="J49" s="456">
        <f>=H49/(G49-1)*(F49-G49)</f>
        <v>6.13333333333333</v>
      </c>
      <c r="K49" s="395" t="s"/>
      <c r="L49" s="448" t="s"/>
      <c r="M49" s="448" t="s"/>
      <c r="N49" s="448" t="s"/>
      <c r="O49" s="448" t="s"/>
      <c r="P49" s="448" t="s"/>
      <c r="Q49" s="448" t="s"/>
      <c r="R49" s="448" t="s"/>
      <c r="S49" s="448" t="s"/>
      <c r="T49" s="448" t="s"/>
      <c r="U49" s="448" t="s"/>
      <c r="V49" s="448" t="s"/>
      <c r="W49" s="448" t="s"/>
    </row>
    <row r="50" spans="1:23" ht="37.5" customHeight="1">
      <c r="A50" s="37" t="s"/>
      <c r="B50" s="368">
        <v>2</v>
      </c>
      <c r="C50" s="426" t="s">
        <v>278</v>
      </c>
      <c r="D50" s="381" t="s"/>
      <c r="E50" s="426" t="s">
        <v>279</v>
      </c>
      <c r="F50" s="428">
        <v>7</v>
      </c>
      <c r="G50" s="427">
        <v>3</v>
      </c>
      <c r="H50" s="429">
        <v>2.73</v>
      </c>
      <c r="I50" s="430">
        <f>=(F50-G50)/F50*100%</f>
        <v>0.571428571428572</v>
      </c>
      <c r="J50" s="456">
        <f>=H50/(G50-1)*(F50-G50)</f>
        <v>5.46</v>
      </c>
      <c r="K50" s="395" t="s"/>
      <c r="L50" s="396" t="s"/>
      <c r="M50" s="396" t="s"/>
      <c r="N50" s="396" t="s"/>
      <c r="O50" s="396" t="s"/>
      <c r="P50" s="396" t="s"/>
      <c r="Q50" s="396" t="s"/>
      <c r="R50" s="396" t="s"/>
      <c r="S50" s="396" t="s"/>
      <c r="T50" s="396" t="s"/>
      <c r="U50" s="396" t="s"/>
      <c r="V50" s="396" t="s"/>
      <c r="W50" s="396" t="s"/>
    </row>
    <row r="51" spans="1:23" ht="37.5" customHeight="1">
      <c r="A51" s="37" t="s"/>
      <c r="B51" s="392" t="s"/>
      <c r="C51" s="381" t="s"/>
      <c r="D51" s="381" t="s"/>
      <c r="E51" s="426" t="s">
        <v>75</v>
      </c>
      <c r="F51" s="428">
        <v>7</v>
      </c>
      <c r="G51" s="427">
        <v>3</v>
      </c>
      <c r="H51" s="429">
        <v>3.21</v>
      </c>
      <c r="I51" s="358" t="s"/>
      <c r="J51" s="456">
        <f>=H51/(G51-1)*(F51-G51)</f>
        <v>6.42</v>
      </c>
      <c r="K51" s="395" t="s"/>
      <c r="L51" s="396" t="s"/>
      <c r="M51" s="396" t="s"/>
      <c r="N51" s="396" t="s"/>
      <c r="O51" s="396" t="s"/>
      <c r="P51" s="396" t="s"/>
      <c r="Q51" s="396" t="s"/>
      <c r="R51" s="396" t="s"/>
      <c r="S51" s="396" t="s"/>
      <c r="T51" s="396" t="s"/>
      <c r="U51" s="396" t="s"/>
      <c r="V51" s="396" t="s"/>
      <c r="W51" s="396" t="s"/>
    </row>
    <row r="52" spans="1:23" ht="37.5" customHeight="1">
      <c r="A52" s="37" t="s"/>
      <c r="B52" s="368">
        <v>3</v>
      </c>
      <c r="C52" s="426" t="s">
        <v>241</v>
      </c>
      <c r="D52" s="381" t="s"/>
      <c r="E52" s="381" t="s"/>
      <c r="F52" s="426">
        <v>4</v>
      </c>
      <c r="G52" s="460">
        <v>2</v>
      </c>
      <c r="H52" s="456">
        <v>2.15</v>
      </c>
      <c r="I52" s="430">
        <f>=(F52-G52)/F52*100%</f>
        <v>0.5</v>
      </c>
      <c r="J52" s="456">
        <f>=H52/(G52-1)*(F52-G52)</f>
        <v>4.3</v>
      </c>
      <c r="K52" s="395" t="s"/>
      <c r="L52" s="396" t="s"/>
      <c r="M52" s="396" t="s"/>
      <c r="N52" s="396" t="s"/>
      <c r="O52" s="396" t="s"/>
      <c r="P52" s="396" t="s"/>
      <c r="Q52" s="396" t="s"/>
      <c r="R52" s="396" t="s"/>
      <c r="S52" s="396" t="s"/>
      <c r="T52" s="396" t="s"/>
      <c r="U52" s="396" t="s"/>
      <c r="V52" s="396" t="s"/>
      <c r="W52" s="396" t="s"/>
    </row>
    <row r="53" spans="1:23" ht="37.5" customHeight="1">
      <c r="A53" s="37" t="s"/>
      <c r="B53" s="368">
        <v>4</v>
      </c>
      <c r="C53" s="426" t="s">
        <v>273</v>
      </c>
      <c r="D53" s="381" t="s"/>
      <c r="E53" s="381" t="s"/>
      <c r="F53" s="427">
        <v>6</v>
      </c>
      <c r="G53" s="428">
        <v>3</v>
      </c>
      <c r="H53" s="429">
        <v>2.62</v>
      </c>
      <c r="I53" s="430">
        <f>=(F53-G53)/F53*100%</f>
        <v>0.5</v>
      </c>
      <c r="J53" s="456">
        <f>=H53/(G53-1)*(F53-G53)</f>
        <v>3.93</v>
      </c>
      <c r="K53" s="395" t="s"/>
      <c r="L53" s="396" t="s"/>
      <c r="M53" s="396" t="s"/>
      <c r="N53" s="396" t="s"/>
      <c r="O53" s="396" t="s"/>
      <c r="P53" s="396" t="s"/>
      <c r="Q53" s="396" t="s"/>
      <c r="R53" s="396" t="s"/>
      <c r="S53" s="396" t="s"/>
      <c r="T53" s="396" t="s"/>
      <c r="U53" s="396" t="s"/>
      <c r="V53" s="396" t="s"/>
      <c r="W53" s="396" t="s"/>
    </row>
    <row r="54" spans="1:23" ht="37.5" customHeight="1">
      <c r="A54" s="37" t="s"/>
      <c r="B54" s="368">
        <v>5</v>
      </c>
      <c r="C54" s="426" t="s">
        <v>357</v>
      </c>
      <c r="D54" s="381" t="s"/>
      <c r="E54" s="427" t="s">
        <v>358</v>
      </c>
      <c r="F54" s="428">
        <v>9</v>
      </c>
      <c r="G54" s="460">
        <v>4</v>
      </c>
      <c r="H54" s="456">
        <v>2.55</v>
      </c>
      <c r="I54" s="430">
        <f>=(F54-G54)/F54*100%</f>
        <v>0.555555555555556</v>
      </c>
      <c r="J54" s="456">
        <f>=H54/(G54)*(F54-G54)</f>
        <v>3.1875</v>
      </c>
      <c r="K54" s="469" t="s"/>
      <c r="L54" s="384" t="s"/>
      <c r="M54" s="384" t="s"/>
      <c r="N54" s="384" t="s"/>
      <c r="O54" s="384" t="s"/>
      <c r="P54" s="384" t="s"/>
      <c r="Q54" s="384" t="s"/>
      <c r="R54" s="384" t="s"/>
      <c r="S54" s="384" t="s"/>
      <c r="T54" s="384" t="s"/>
      <c r="U54" s="384" t="s"/>
      <c r="V54" s="384" t="s"/>
      <c r="W54" s="384" t="s"/>
    </row>
    <row r="55" spans="1:23" ht="37.5" customHeight="1">
      <c r="A55" s="37" t="s"/>
      <c r="B55" s="461" t="s"/>
      <c r="C55" s="462" t="s"/>
      <c r="D55" s="462" t="s"/>
      <c r="E55" s="437" t="s">
        <v>75</v>
      </c>
      <c r="F55" s="463">
        <v>9</v>
      </c>
      <c r="G55" s="463">
        <v>2</v>
      </c>
      <c r="H55" s="429">
        <v>2.47</v>
      </c>
      <c r="I55" s="430">
        <v>0.77</v>
      </c>
      <c r="J55" s="456">
        <f>=H55/(G55)*(F55-G55)</f>
        <v>8.645</v>
      </c>
      <c r="K55" s="469" t="s"/>
      <c r="L55" s="384" t="s"/>
      <c r="M55" s="384" t="s"/>
      <c r="N55" s="384" t="s"/>
      <c r="O55" s="384" t="s"/>
      <c r="P55" s="384" t="s"/>
      <c r="Q55" s="384" t="s"/>
      <c r="R55" s="384" t="s"/>
      <c r="S55" s="384" t="s"/>
      <c r="T55" s="384" t="s"/>
      <c r="U55" s="384" t="s"/>
      <c r="V55" s="384" t="s"/>
      <c r="W55" s="384" t="s"/>
    </row>
    <row r="56" spans="1:23" ht="37.5" customHeight="1">
      <c r="A56" s="470" t="s"/>
      <c r="B56" s="368">
        <v>6</v>
      </c>
      <c r="C56" s="426" t="s">
        <v>359</v>
      </c>
      <c r="D56" s="381" t="s"/>
      <c r="E56" s="427" t="s">
        <v>358</v>
      </c>
      <c r="F56" s="428">
        <v>9</v>
      </c>
      <c r="G56" s="460">
        <v>5</v>
      </c>
      <c r="H56" s="471">
        <v>3.31</v>
      </c>
      <c r="I56" s="430">
        <f>=(F56-G56)/F56*100%</f>
        <v>0.444444444444445</v>
      </c>
      <c r="J56" s="456">
        <f>=H56/(G56)*(F56-G56)</f>
        <v>2.648</v>
      </c>
      <c r="K56" s="413" t="s"/>
      <c r="L56" s="396" t="s"/>
      <c r="M56" s="396" t="s"/>
      <c r="N56" s="396" t="s"/>
      <c r="O56" s="396" t="s"/>
      <c r="P56" s="396" t="s"/>
      <c r="Q56" s="396" t="s"/>
      <c r="R56" s="396" t="s"/>
      <c r="S56" s="396" t="s"/>
      <c r="T56" s="396" t="s"/>
      <c r="U56" s="396" t="s"/>
      <c r="V56" s="396" t="s"/>
      <c r="W56" s="396" t="s"/>
    </row>
    <row r="57" spans="1:23" ht="37.5" customHeight="1">
      <c r="A57" s="470" t="s"/>
      <c r="B57" s="392" t="s"/>
      <c r="C57" s="381" t="s"/>
      <c r="D57" s="381" t="s"/>
      <c r="E57" s="426" t="s">
        <v>75</v>
      </c>
      <c r="F57" s="428">
        <v>9</v>
      </c>
      <c r="G57" s="428">
        <v>3</v>
      </c>
      <c r="H57" s="472">
        <v>4.1</v>
      </c>
      <c r="I57" s="430">
        <v>0.66</v>
      </c>
      <c r="J57" s="456">
        <f>=H57/(G57)*(F57-G57)</f>
        <v>8.2</v>
      </c>
      <c r="K57" s="395" t="s"/>
      <c r="L57" s="396" t="s"/>
      <c r="M57" s="396" t="s"/>
      <c r="N57" s="396" t="s"/>
      <c r="O57" s="396" t="s"/>
      <c r="P57" s="396" t="s"/>
      <c r="Q57" s="396" t="s"/>
      <c r="R57" s="396" t="s"/>
      <c r="S57" s="396" t="s"/>
      <c r="T57" s="396" t="s"/>
      <c r="U57" s="396" t="s"/>
      <c r="V57" s="396" t="s"/>
      <c r="W57" s="396" t="s"/>
    </row>
    <row r="58" spans="1:23" ht="37.5" customHeight="1">
      <c r="A58" s="470" t="s"/>
      <c r="B58" s="368">
        <v>7</v>
      </c>
      <c r="C58" s="426" t="s">
        <v>194</v>
      </c>
      <c r="D58" s="37" t="s"/>
      <c r="E58" s="412" t="s">
        <v>29</v>
      </c>
      <c r="F58" s="426">
        <v>8</v>
      </c>
      <c r="G58" s="460">
        <v>4</v>
      </c>
      <c r="H58" s="471">
        <v>1.08</v>
      </c>
      <c r="I58" s="430">
        <f>=(F58-G58)/F58*100%</f>
        <v>0.5</v>
      </c>
      <c r="J58" s="456">
        <f>=H58/(G58-1)*(F58-G58)</f>
        <v>1.44</v>
      </c>
      <c r="K58" s="408" t="s"/>
      <c r="L58" s="391" t="s"/>
      <c r="M58" s="391" t="s"/>
      <c r="N58" s="391" t="s"/>
      <c r="O58" s="391" t="s"/>
      <c r="P58" s="391" t="s"/>
      <c r="Q58" s="391" t="s"/>
      <c r="R58" s="391" t="s"/>
      <c r="S58" s="391" t="s"/>
      <c r="T58" s="391" t="s"/>
      <c r="U58" s="391" t="s"/>
      <c r="V58" s="391" t="s"/>
      <c r="W58" s="391" t="s"/>
    </row>
    <row r="59" spans="1:23" ht="37.5" customHeight="1">
      <c r="A59" s="470" t="s"/>
      <c r="B59" s="37" t="s"/>
      <c r="C59" s="37" t="s"/>
      <c r="D59" s="37" t="s"/>
      <c r="E59" s="412" t="s">
        <v>81</v>
      </c>
      <c r="F59" s="426">
        <v>10</v>
      </c>
      <c r="G59" s="460">
        <v>4</v>
      </c>
      <c r="H59" s="471">
        <v>1.08</v>
      </c>
      <c r="I59" s="430">
        <f>=(F59-G59)/F59*100%</f>
        <v>0.6</v>
      </c>
      <c r="J59" s="456">
        <f>=H59/(G59-1)*(F59-G59)</f>
        <v>2.16</v>
      </c>
      <c r="K59" s="408" t="s"/>
      <c r="L59" s="391" t="s"/>
      <c r="M59" s="391" t="s"/>
      <c r="N59" s="391" t="s"/>
      <c r="O59" s="391" t="s"/>
      <c r="P59" s="391" t="s"/>
      <c r="Q59" s="391" t="s"/>
      <c r="R59" s="391" t="s"/>
      <c r="S59" s="391" t="s"/>
      <c r="T59" s="391" t="s"/>
      <c r="U59" s="391" t="s"/>
      <c r="V59" s="391" t="s"/>
      <c r="W59" s="391" t="s"/>
    </row>
    <row r="60" spans="3:9">
      <c r="C60" s="473" t="s"/>
      <c r="D60" s="473" t="s"/>
      <c r="E60" s="473" t="s"/>
      <c r="F60" s="473" t="s"/>
      <c r="G60" s="473" t="s"/>
      <c r="H60" s="473" t="s"/>
      <c r="I60" s="474" t="s"/>
    </row>
    <row r="61" spans="3:9">
      <c r="C61" s="473" t="s"/>
      <c r="D61" s="473" t="s"/>
      <c r="E61" s="473" t="s"/>
      <c r="F61" s="473" t="s"/>
      <c r="G61" s="473" t="s"/>
      <c r="H61" s="473" t="s"/>
      <c r="I61" s="474" t="s"/>
    </row>
    <row r="62" spans="3:9" s="620">
      <c r="C62" s="473" t="s"/>
      <c r="D62" s="473" t="s"/>
      <c r="E62" s="473" t="s"/>
      <c r="F62" s="473" t="s"/>
      <c r="G62" s="473" t="s"/>
      <c r="H62" s="473" t="s"/>
      <c r="I62" s="474" t="s"/>
    </row>
    <row r="63" spans="3:9">
      <c r="C63" s="473" t="s"/>
      <c r="D63" s="473" t="s"/>
      <c r="E63" s="473" t="s"/>
      <c r="F63" s="473" t="s"/>
      <c r="G63" s="473" t="s"/>
      <c r="H63" s="473" t="s"/>
      <c r="I63" s="474" t="s"/>
    </row>
    <row r="64" spans="3:9">
      <c r="C64" s="473" t="s"/>
      <c r="D64" s="473" t="s"/>
      <c r="E64" s="473" t="s"/>
      <c r="F64" s="473" t="s"/>
      <c r="G64" s="473" t="s"/>
      <c r="H64" s="473" t="s"/>
      <c r="I64" s="474" t="s"/>
    </row>
    <row r="65" spans="3:9">
      <c r="C65" s="473" t="s"/>
      <c r="D65" s="473" t="s"/>
      <c r="E65" s="473" t="s"/>
      <c r="F65" s="473" t="s"/>
      <c r="G65" s="473" t="s"/>
      <c r="H65" s="473" t="s"/>
      <c r="I65" s="474" t="s"/>
    </row>
    <row r="66" spans="3:9">
      <c r="C66" s="473" t="s"/>
      <c r="D66" s="473" t="s"/>
      <c r="E66" s="473" t="s"/>
      <c r="F66" s="473" t="s"/>
      <c r="G66" s="473" t="s"/>
      <c r="H66" s="473" t="s"/>
      <c r="I66" s="474" t="s"/>
    </row>
    <row r="67" spans="3:9">
      <c r="C67" s="473" t="s"/>
      <c r="D67" s="473" t="s"/>
      <c r="E67" s="473" t="s"/>
      <c r="F67" s="473" t="s"/>
      <c r="G67" s="473" t="s"/>
      <c r="H67" s="473" t="s"/>
      <c r="I67" s="474" t="s"/>
    </row>
    <row r="68" spans="3:9">
      <c r="C68" s="473" t="s"/>
      <c r="D68" s="473" t="s"/>
      <c r="E68" s="473" t="s"/>
      <c r="F68" s="473" t="s"/>
      <c r="G68" s="473" t="s"/>
      <c r="H68" s="473" t="s"/>
      <c r="I68" s="474" t="s"/>
    </row>
    <row r="71" spans="1:23" ht="37.5" customHeight="1"/>
    <row r="72" spans="1:23" ht="37.5" customHeight="1"/>
    <row r="73" spans="1:23" ht="37.5" customHeight="1"/>
    <row r="74" spans="1:23" ht="37.5" customHeight="1"/>
    <row r="75" spans="1:23" ht="37.5" customHeight="1"/>
    <row r="76" spans="1:23" ht="37.5" customHeight="1"/>
    <row r="77" spans="1:23" ht="37.5" customHeight="1"/>
    <row r="78" spans="1:23" ht="37.5" customHeight="1"/>
    <row r="79" spans="1:23" ht="37.5" customHeight="1"/>
    <row r="80" spans="1:23" ht="37.5" customHeight="1"/>
    <row r="81" spans="1:23" ht="37.5" customHeight="1"/>
    <row r="82" spans="1:23" ht="37.5" customHeight="1"/>
    <row r="83" spans="1:23" ht="37.5" customHeight="1"/>
    <row r="84" spans="1:23" ht="37.5" customHeight="1"/>
    <row r="85" spans="1:23" ht="37.5" customHeight="1"/>
    <row r="86" spans="1:23" ht="37.5" customHeight="1"/>
    <row r="87" spans="1:23" ht="37.5" customHeight="1"/>
    <row r="88" spans="1:23" ht="37.5" customHeight="1"/>
    <row r="89" spans="1:23" ht="37.5" customHeight="1"/>
    <row r="90" spans="1:23" ht="37.5" customHeight="1"/>
    <row r="91" spans="1:23" ht="37.5" customHeight="1"/>
    <row r="92" spans="1:23" ht="37.5" customHeight="1"/>
    <row r="93" spans="1:23" ht="37.5" customHeight="1"/>
    <row r="94" spans="1:23" ht="37.5" customHeight="1"/>
    <row r="95" spans="1:23" ht="37.5" customHeight="1"/>
    <row r="96" spans="1:23" ht="37.5" customHeight="1"/>
    <row r="97" spans="1:23" ht="37.5" customHeight="1"/>
    <row r="98" spans="1:23" ht="37.5" customHeight="1"/>
    <row r="99" spans="1:23" ht="37.5" customHeight="1"/>
    <row r="100" spans="1:23" ht="37.5" customHeight="1"/>
    <row r="101" spans="1:23" ht="37.5" customHeight="1"/>
    <row r="102" spans="1:23" ht="37.5" customHeight="1"/>
    <row r="103" spans="1:23" ht="37.5" customHeight="1"/>
    <row r="104" spans="1:23" ht="37.5" customHeight="1"/>
    <row r="105" spans="1:23" ht="37.5" customHeight="1"/>
    <row r="106" spans="1:23" ht="37.5" customHeight="1"/>
    <row r="107" spans="1:23" ht="37.5" customHeight="1"/>
    <row r="108" spans="1:23" ht="37.5" customHeight="1"/>
    <row r="109" spans="1:23" ht="37.5" customHeight="1"/>
    <row r="110" spans="1:23" ht="37.5" customHeight="1"/>
    <row r="111" spans="1:23" ht="37.5" customHeight="1"/>
    <row r="112" spans="1:23" ht="37.5" customHeight="1"/>
    <row r="113" spans="1:23" ht="37.5" customHeight="1"/>
    <row r="114" spans="1:23" ht="37.5" customHeight="1"/>
    <row r="115" spans="1:23" ht="37.5" customHeight="1"/>
    <row r="116" spans="1:23" ht="37.5" customHeight="1"/>
    <row r="117" spans="1:23" ht="37.5" customHeight="1"/>
    <row r="118" spans="1:23" ht="37.5" customHeight="1"/>
    <row r="119" spans="1:23" ht="37.5" customHeight="1"/>
    <row r="120" spans="1:23" ht="37.5" customHeight="1"/>
    <row r="121" spans="1:23" ht="37.5" customHeight="1"/>
    <row r="122" spans="1:23" ht="37.5" customHeight="1"/>
    <row r="123" spans="1:23" ht="37.5" customHeight="1"/>
    <row r="124" spans="1:23" ht="37.5" customHeight="1"/>
    <row r="125" spans="1:23" ht="37.5" customHeight="1"/>
    <row r="126" spans="1:23" ht="37.5" customHeight="1"/>
    <row r="127" spans="1:23" ht="37.5" customHeight="1"/>
    <row r="128" spans="1:23" ht="37.5" customHeight="1"/>
    <row r="129" spans="1:23" ht="37.5" customHeight="1"/>
    <row r="130" spans="1:23" ht="37.5" customHeight="1"/>
    <row r="131" spans="1:23" ht="37.5" customHeight="1"/>
    <row r="132" spans="1:23" ht="37.5" customHeight="1"/>
    <row r="133" spans="1:23" ht="37.5" customHeight="1"/>
    <row r="134" spans="1:23" ht="37.5" customHeight="1"/>
    <row r="135" spans="1:23" ht="37.5" customHeight="1"/>
    <row r="136" spans="1:23" ht="37.5" customHeight="1"/>
    <row r="137" spans="1:23" ht="37.5" customHeight="1"/>
    <row r="138" spans="1:23" ht="37.5" customHeight="1"/>
    <row r="139" spans="1:23" ht="37.5" customHeight="1"/>
    <row r="140" spans="1:23" ht="37.5" customHeight="1"/>
    <row r="141" spans="1:23" ht="37.5" customHeight="1"/>
    <row r="142" spans="1:23" ht="37.5" customHeight="1"/>
    <row r="143" spans="1:23" ht="37.5" customHeight="1"/>
    <row r="144" spans="1:23" ht="37.5" customHeight="1"/>
    <row r="145" spans="1:23" ht="37.5" customHeight="1"/>
    <row r="146" spans="1:23" ht="37.5" customHeight="1"/>
    <row r="147" spans="1:23" ht="37.5" customHeight="1"/>
    <row r="148" spans="1:23" ht="37.5" customHeight="1"/>
    <row r="149" spans="1:23" ht="37.5" customHeight="1"/>
    <row r="150" spans="1:23" ht="37.5" customHeight="1"/>
    <row r="151" spans="1:23" ht="37.5" customHeight="1"/>
    <row r="152" spans="1:23" ht="37.5" customHeight="1"/>
    <row r="153" spans="1:23" ht="37.5" customHeight="1"/>
    <row r="154" spans="1:23" ht="37.5" customHeight="1"/>
    <row r="155" spans="1:23" ht="37.5" customHeight="1"/>
    <row r="156" spans="1:23" ht="37.5" customHeight="1"/>
    <row r="157" spans="1:23" ht="37.5" customHeight="1"/>
    <row r="158" spans="1:23" ht="37.5" customHeight="1"/>
    <row r="159" spans="1:23" ht="37.5" customHeight="1"/>
    <row r="160" spans="1:23" ht="37.5" customHeight="1"/>
    <row r="161" spans="1:23" ht="37.5" customHeight="1"/>
    <row r="162" spans="1:23" ht="37.5" customHeight="1"/>
    <row r="163" spans="1:23" ht="37.5" customHeight="1"/>
    <row r="164" spans="1:23" ht="37.5" customHeight="1"/>
    <row r="165" spans="1:23" ht="37.5" customHeight="1"/>
    <row r="166" spans="1:23" ht="37.5" customHeight="1"/>
    <row r="167" spans="1:23" ht="37.5" customHeight="1"/>
    <row r="168" spans="1:23" ht="37.5" customHeight="1"/>
    <row r="169" spans="1:23" ht="37.5" customHeight="1"/>
    <row r="170" spans="1:23" ht="37.5" customHeight="1"/>
    <row r="171" spans="1:23" ht="37.5" customHeight="1"/>
    <row r="172" spans="1:23" ht="37.5" customHeight="1"/>
    <row r="173" spans="1:23" ht="37.5" customHeight="1"/>
    <row r="174" spans="1:23" ht="37.5" customHeight="1"/>
    <row r="175" spans="1:23" ht="37.5" customHeight="1"/>
    <row r="176" spans="1:23" ht="37.5" customHeight="1"/>
    <row r="177" spans="1:23" ht="37.5" customHeight="1"/>
    <row r="178" spans="1:23" ht="37.5" customHeight="1"/>
    <row r="179" spans="1:23" ht="37.5" customHeight="1"/>
    <row r="180" spans="1:23" ht="37.5" customHeight="1"/>
    <row r="181" spans="1:23" ht="37.5" customHeight="1"/>
    <row r="182" spans="1:23" ht="37.5" customHeight="1"/>
    <row r="183" spans="1:23" ht="37.5" customHeight="1"/>
    <row r="184" spans="1:23" ht="37.5" customHeight="1"/>
    <row r="185" spans="1:23" ht="37.5" customHeight="1"/>
    <row r="186" spans="1:23" ht="37.5" customHeight="1"/>
    <row r="187" spans="1:23" ht="37.5" customHeight="1"/>
    <row r="188" spans="1:23" ht="37.5" customHeight="1"/>
    <row r="189" spans="1:23" ht="37.5" customHeight="1"/>
    <row r="190" spans="1:23" ht="37.5" customHeight="1"/>
    <row r="191" spans="1:23" ht="37.5" customHeight="1"/>
    <row r="192" spans="1:23" ht="37.5" customHeight="1"/>
    <row r="193" spans="1:23" ht="37.5" customHeight="1"/>
    <row r="194" spans="1:23" ht="37.5" customHeight="1"/>
    <row r="195" spans="1:23" ht="37.5" customHeight="1"/>
    <row r="196" spans="1:23" ht="37.5" customHeight="1"/>
    <row r="197" spans="1:23" ht="37.5" customHeight="1"/>
    <row r="198" spans="1:23" ht="37.5" customHeight="1"/>
  </sheetData>
  <mergeCells count="81">
    <mergeCell ref="F3:F4"/>
    <mergeCell ref="I3:I4"/>
    <mergeCell ref="B3:B4"/>
    <mergeCell ref="C3:E4"/>
    <mergeCell ref="G3:G4"/>
    <mergeCell ref="H3:H4"/>
    <mergeCell ref="A3:A4"/>
    <mergeCell ref="C13:E13"/>
    <mergeCell ref="C16:E16"/>
    <mergeCell ref="C19:E19"/>
    <mergeCell ref="B17:B18"/>
    <mergeCell ref="C17:D18"/>
    <mergeCell ref="I17:I18"/>
    <mergeCell ref="B21:B22"/>
    <mergeCell ref="C21:D22"/>
    <mergeCell ref="I21:I22"/>
    <mergeCell ref="C23:E23"/>
    <mergeCell ref="C24:E24"/>
    <mergeCell ref="B31:B32"/>
    <mergeCell ref="C31:D32"/>
    <mergeCell ref="I31:I32"/>
    <mergeCell ref="B25:B26"/>
    <mergeCell ref="C25:D26"/>
    <mergeCell ref="I25:I26"/>
    <mergeCell ref="C33:D33"/>
    <mergeCell ref="C40:D40"/>
    <mergeCell ref="C46:E46"/>
    <mergeCell ref="B47:B48"/>
    <mergeCell ref="C47:D48"/>
    <mergeCell ref="I47:I48"/>
    <mergeCell ref="C49:E49"/>
    <mergeCell ref="B50:B51"/>
    <mergeCell ref="C50:D51"/>
    <mergeCell ref="I50:I51"/>
    <mergeCell ref="C52:E52"/>
    <mergeCell ref="C53:E53"/>
    <mergeCell ref="B54:B55"/>
    <mergeCell ref="C54:D55"/>
    <mergeCell ref="B56:B57"/>
    <mergeCell ref="C56:D57"/>
    <mergeCell ref="C42:D43"/>
    <mergeCell ref="B42:B43"/>
    <mergeCell ref="F42:F43"/>
    <mergeCell ref="C11:D12"/>
    <mergeCell ref="B11:B12"/>
    <mergeCell ref="C14:E14"/>
    <mergeCell ref="C15:E15"/>
    <mergeCell ref="A1:K1"/>
    <mergeCell ref="A2:K2"/>
    <mergeCell ref="J3:J4"/>
    <mergeCell ref="K3:K4"/>
    <mergeCell ref="C38:C39"/>
    <mergeCell ref="B38:B39"/>
    <mergeCell ref="C27:D28"/>
    <mergeCell ref="B27:B28"/>
    <mergeCell ref="A17:A23"/>
    <mergeCell ref="C20:E20"/>
    <mergeCell ref="C29:E29"/>
    <mergeCell ref="B36:B37"/>
    <mergeCell ref="C36:C37"/>
    <mergeCell ref="K42:K43"/>
    <mergeCell ref="B40:B41"/>
    <mergeCell ref="A33:A41"/>
    <mergeCell ref="B34:B35"/>
    <mergeCell ref="C34:D35"/>
    <mergeCell ref="A42:A48"/>
    <mergeCell ref="B44:B45"/>
    <mergeCell ref="C44:D45"/>
    <mergeCell ref="A49:A59"/>
    <mergeCell ref="B58:B59"/>
    <mergeCell ref="C58:D59"/>
    <mergeCell ref="A24:A32"/>
    <mergeCell ref="C30:E30"/>
    <mergeCell ref="B29:B30"/>
    <mergeCell ref="B5:B6"/>
    <mergeCell ref="C5:D6"/>
    <mergeCell ref="B9:B10"/>
    <mergeCell ref="C9:D10"/>
    <mergeCell ref="B7:B8"/>
    <mergeCell ref="C7:D8"/>
    <mergeCell ref="A5:A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/>
  <dimension ref="Z46"/>
  <sheetViews>
    <sheetView showGridLines="1" zoomScale="70" zoomScaleNormal="70" workbookViewId="0"/>
  </sheetViews>
  <sheetFormatPr baseColWidth="8" defaultRowHeight="14"/>
  <cols>
    <col min="1" max="1" width="13.5703" style="626" customWidth="1"/>
    <col min="2" max="2" width="11.1211" style="626" customWidth="1"/>
    <col min="3" max="3" width="6.10938" style="626" customWidth="1"/>
    <col min="4" max="4" width="9.66016" style="626" customWidth="1"/>
    <col min="5" max="5" width="13.4492" style="626" customWidth="1"/>
    <col min="6" max="6" width="13.4492" style="626" customWidth="1"/>
    <col min="7" max="7" width="15" style="626" customWidth="1"/>
    <col min="8" max="8" width="15.1602" style="626" customWidth="1"/>
    <col min="9" max="9" width="24.9141" style="626" customWidth="1"/>
    <col min="10" max="23" width="8.66406" style="626"/>
  </cols>
  <sheetData>
    <row r="1" spans="1:9" ht="70.5" customHeight="1">
      <c r="A1" s="475" t="s">
        <v>431</v>
      </c>
      <c r="B1" s="476" t="s"/>
      <c r="C1" s="476" t="s"/>
      <c r="D1" s="476" t="s"/>
      <c r="E1" s="476" t="s"/>
      <c r="F1" s="476" t="s"/>
      <c r="G1" s="476" t="s"/>
      <c r="H1" s="476" t="s"/>
      <c r="I1" s="476" t="s"/>
    </row>
    <row r="2" spans="1:9" ht="33.75" customHeight="1">
      <c r="A2" s="477" t="s">
        <v>360</v>
      </c>
      <c r="B2" s="386" t="s"/>
      <c r="C2" s="386" t="s"/>
      <c r="D2" s="386" t="s"/>
      <c r="E2" s="386" t="s"/>
      <c r="F2" s="386" t="s"/>
      <c r="G2" s="386" t="s"/>
      <c r="H2" s="387" t="s"/>
      <c r="I2" s="478" t="s"/>
    </row>
    <row r="3" spans="1:9" ht="33.75" customHeight="1">
      <c r="A3" s="479" t="s">
        <v>361</v>
      </c>
      <c r="B3" s="480" t="s">
        <v>337</v>
      </c>
      <c r="C3" s="37" t="s"/>
      <c r="D3" s="37" t="s"/>
      <c r="E3" s="481" t="s">
        <v>362</v>
      </c>
      <c r="F3" s="482" t="s">
        <v>363</v>
      </c>
      <c r="G3" s="483" t="s">
        <v>364</v>
      </c>
      <c r="H3" s="37" t="s"/>
      <c r="I3" s="484" t="s">
        <v>340</v>
      </c>
    </row>
    <row r="4" spans="1:9" ht="59.25" customHeight="1">
      <c r="A4" s="37" t="s"/>
      <c r="B4" s="37" t="s"/>
      <c r="C4" s="37" t="s"/>
      <c r="D4" s="37" t="s"/>
      <c r="E4" s="485" t="s">
        <v>432</v>
      </c>
      <c r="F4" s="486" t="s">
        <v>433</v>
      </c>
      <c r="G4" s="487" t="s">
        <v>434</v>
      </c>
      <c r="H4" s="487" t="s">
        <v>435</v>
      </c>
      <c r="I4" s="37" t="s"/>
    </row>
    <row r="5" spans="1:9" ht="30" customHeight="1">
      <c r="A5" s="488" t="s">
        <v>341</v>
      </c>
      <c r="B5" s="489" t="s">
        <v>115</v>
      </c>
      <c r="C5" s="41" t="s"/>
      <c r="D5" s="41" t="s"/>
      <c r="E5" s="490" t="s">
        <v>150</v>
      </c>
      <c r="F5" s="490" t="s">
        <v>365</v>
      </c>
      <c r="G5" s="491">
        <v>0.87</v>
      </c>
      <c r="H5" s="491">
        <v>0.87</v>
      </c>
      <c r="I5" s="489" t="s"/>
    </row>
    <row r="6" spans="1:9" ht="30" customHeight="1">
      <c r="A6" s="37" t="s"/>
      <c r="B6" s="167" t="s">
        <v>366</v>
      </c>
      <c r="C6" s="41" t="s"/>
      <c r="D6" s="41" t="s"/>
      <c r="E6" s="492" t="s">
        <v>131</v>
      </c>
      <c r="F6" s="492" t="s">
        <v>367</v>
      </c>
      <c r="G6" s="493">
        <v>0.87</v>
      </c>
      <c r="H6" s="491">
        <v>0.87</v>
      </c>
      <c r="I6" s="489" t="s"/>
    </row>
    <row r="7" spans="1:9" ht="30" customHeight="1">
      <c r="A7" s="37" t="s"/>
      <c r="B7" s="167" t="s">
        <v>128</v>
      </c>
      <c r="C7" s="494" t="s"/>
      <c r="D7" s="494" t="s"/>
      <c r="E7" s="492" t="s">
        <v>368</v>
      </c>
      <c r="F7" s="492" t="s">
        <v>369</v>
      </c>
      <c r="G7" s="495">
        <v>0.87</v>
      </c>
      <c r="H7" s="496">
        <v>0.652</v>
      </c>
      <c r="I7" s="497" t="s"/>
    </row>
    <row r="8" spans="1:9" ht="30" customHeight="1">
      <c r="A8" s="37" t="s"/>
      <c r="B8" s="40" t="s">
        <v>143</v>
      </c>
      <c r="C8" s="162" t="s"/>
      <c r="D8" s="162" t="s"/>
      <c r="E8" s="492" t="s">
        <v>370</v>
      </c>
      <c r="F8" s="40" t="s"/>
      <c r="G8" s="493">
        <v>0.87</v>
      </c>
      <c r="H8" s="491">
        <v>0.652</v>
      </c>
      <c r="I8" s="497" t="s"/>
    </row>
    <row r="9" spans="1:9" ht="30" customHeight="1">
      <c r="A9" s="37" t="s"/>
      <c r="B9" s="40" t="s">
        <v>96</v>
      </c>
      <c r="C9" s="162" t="s"/>
      <c r="D9" s="162" t="s"/>
      <c r="E9" s="492" t="s">
        <v>370</v>
      </c>
      <c r="F9" s="492" t="s">
        <v>371</v>
      </c>
      <c r="G9" s="493">
        <v>0.87</v>
      </c>
      <c r="H9" s="491">
        <v>0.652</v>
      </c>
      <c r="I9" s="489" t="s"/>
    </row>
    <row r="10" spans="1:9" ht="30" customHeight="1">
      <c r="A10" s="37" t="s"/>
      <c r="B10" s="40" t="s">
        <v>28</v>
      </c>
      <c r="C10" s="41" t="s"/>
      <c r="D10" s="41" t="s"/>
      <c r="E10" s="492" t="s">
        <v>67</v>
      </c>
      <c r="F10" s="492" t="s">
        <v>372</v>
      </c>
      <c r="G10" s="493">
        <v>0.87</v>
      </c>
      <c r="H10" s="491">
        <v>0.652</v>
      </c>
      <c r="I10" s="489" t="s"/>
    </row>
    <row r="11" spans="1:9" ht="30" customHeight="1">
      <c r="A11" s="37" t="s"/>
      <c r="B11" s="40" t="s">
        <v>190</v>
      </c>
      <c r="C11" s="37" t="s"/>
      <c r="D11" s="54" t="s">
        <v>29</v>
      </c>
      <c r="E11" s="492" t="s">
        <v>44</v>
      </c>
      <c r="F11" s="492" t="s">
        <v>373</v>
      </c>
      <c r="G11" s="498">
        <v>0.87</v>
      </c>
      <c r="H11" s="499">
        <v>0.652</v>
      </c>
      <c r="I11" s="489" t="s"/>
    </row>
    <row r="12" spans="1:9" ht="30" customHeight="1">
      <c r="A12" s="37" t="s"/>
      <c r="B12" s="37" t="s"/>
      <c r="C12" s="37" t="s"/>
      <c r="D12" s="54" t="s">
        <v>81</v>
      </c>
      <c r="E12" s="492" t="s">
        <v>43</v>
      </c>
      <c r="F12" s="492" t="s">
        <v>374</v>
      </c>
      <c r="G12" s="237" t="s"/>
      <c r="H12" s="237" t="s"/>
      <c r="I12" s="489" t="s"/>
    </row>
    <row r="13" spans="1:9" ht="30" customHeight="1">
      <c r="A13" s="500" t="s">
        <v>300</v>
      </c>
      <c r="B13" s="501" t="s">
        <v>375</v>
      </c>
      <c r="C13" s="342" t="s"/>
      <c r="D13" s="54" t="s">
        <v>29</v>
      </c>
      <c r="E13" s="502" t="s">
        <v>376</v>
      </c>
      <c r="F13" s="502" t="s">
        <v>377</v>
      </c>
      <c r="G13" s="493">
        <v>0.87</v>
      </c>
      <c r="H13" s="491">
        <v>0.87</v>
      </c>
      <c r="I13" s="497" t="s"/>
    </row>
    <row r="14" spans="1:9" ht="30" customHeight="1">
      <c r="A14" s="503" t="s"/>
      <c r="B14" s="400" t="s"/>
      <c r="C14" s="401" t="s"/>
      <c r="D14" s="54" t="s">
        <v>81</v>
      </c>
      <c r="E14" s="502" t="s">
        <v>378</v>
      </c>
      <c r="F14" s="492" t="s">
        <v>379</v>
      </c>
      <c r="G14" s="493">
        <v>0.87</v>
      </c>
      <c r="H14" s="491">
        <v>0.87</v>
      </c>
      <c r="I14" s="497" t="s"/>
    </row>
    <row r="15" spans="1:9" ht="30" customHeight="1">
      <c r="A15" s="187" t="s"/>
      <c r="B15" s="441" t="s">
        <v>122</v>
      </c>
      <c r="C15" s="37" t="s"/>
      <c r="D15" s="404" t="s">
        <v>29</v>
      </c>
      <c r="E15" s="490" t="s">
        <v>67</v>
      </c>
      <c r="F15" s="490" t="s">
        <v>380</v>
      </c>
      <c r="G15" s="504">
        <v>0.87</v>
      </c>
      <c r="H15" s="491">
        <v>0.782</v>
      </c>
      <c r="I15" s="489" t="s"/>
    </row>
    <row r="16" spans="1:9" ht="30" hidden="1" customHeight="1">
      <c r="A16" s="503" t="s"/>
      <c r="B16" s="37" t="s"/>
      <c r="C16" s="37" t="s"/>
      <c r="D16" s="505" t="s">
        <v>81</v>
      </c>
      <c r="E16" s="506" t="s">
        <v>42</v>
      </c>
      <c r="F16" s="506" t="s">
        <v>381</v>
      </c>
      <c r="G16" s="37" t="s"/>
      <c r="H16" s="37" t="s"/>
      <c r="I16" s="489" t="s"/>
    </row>
    <row r="17" spans="1:9" ht="30" customHeight="1">
      <c r="A17" s="187" t="s"/>
      <c r="B17" s="507" t="s">
        <v>209</v>
      </c>
      <c r="C17" s="342" t="s"/>
      <c r="D17" s="404" t="s">
        <v>29</v>
      </c>
      <c r="E17" s="508" t="s">
        <v>382</v>
      </c>
      <c r="F17" s="490" t="s">
        <v>383</v>
      </c>
      <c r="G17" s="509">
        <v>0.87</v>
      </c>
      <c r="H17" s="499">
        <v>0.782</v>
      </c>
      <c r="I17" s="510" t="s"/>
    </row>
    <row r="18" spans="1:9" ht="30" customHeight="1">
      <c r="A18" s="511" t="s"/>
      <c r="B18" s="512" t="s"/>
      <c r="C18" s="513" t="s"/>
      <c r="D18" s="94" t="s">
        <v>384</v>
      </c>
      <c r="E18" s="514" t="s">
        <v>382</v>
      </c>
      <c r="F18" s="515" t="s">
        <v>385</v>
      </c>
      <c r="G18" s="516" t="s"/>
      <c r="H18" s="517" t="s"/>
      <c r="I18" s="518" t="s"/>
    </row>
    <row r="19" spans="1:9" ht="30" hidden="1" customHeight="1">
      <c r="A19" s="503" t="s"/>
      <c r="B19" s="400" t="s"/>
      <c r="C19" s="401" t="s"/>
      <c r="D19" s="404" t="s">
        <v>81</v>
      </c>
      <c r="E19" s="519" t="s">
        <v>386</v>
      </c>
      <c r="F19" s="520" t="s">
        <v>387</v>
      </c>
      <c r="G19" s="237" t="s"/>
      <c r="H19" s="237" t="s"/>
      <c r="I19" s="489" t="s"/>
    </row>
    <row r="20" spans="1:9" ht="30" customHeight="1">
      <c r="A20" s="187" t="s"/>
      <c r="B20" s="438" t="s">
        <v>235</v>
      </c>
      <c r="C20" s="162" t="s"/>
      <c r="D20" s="162" t="s"/>
      <c r="E20" s="521" t="s">
        <v>67</v>
      </c>
      <c r="F20" s="490" t="s">
        <v>388</v>
      </c>
      <c r="G20" s="504">
        <v>0.87</v>
      </c>
      <c r="H20" s="491">
        <v>0.782</v>
      </c>
      <c r="I20" s="497" t="s"/>
    </row>
    <row r="21" spans="1:9" ht="30" customHeight="1">
      <c r="A21" s="500" t="s">
        <v>308</v>
      </c>
      <c r="B21" s="441" t="s">
        <v>177</v>
      </c>
      <c r="C21" s="41" t="s"/>
      <c r="D21" s="41" t="s"/>
      <c r="E21" s="490" t="s">
        <v>43</v>
      </c>
      <c r="F21" s="490" t="s">
        <v>389</v>
      </c>
      <c r="G21" s="504">
        <v>0.87</v>
      </c>
      <c r="H21" s="491">
        <v>0.435</v>
      </c>
      <c r="I21" s="489" t="s"/>
    </row>
    <row r="22" spans="1:9" ht="30" customHeight="1">
      <c r="A22" s="187" t="s"/>
      <c r="B22" s="441" t="s">
        <v>347</v>
      </c>
      <c r="C22" s="41" t="s"/>
      <c r="D22" s="41" t="s"/>
      <c r="E22" s="490" t="s">
        <v>43</v>
      </c>
      <c r="F22" s="490" t="s">
        <v>390</v>
      </c>
      <c r="G22" s="504">
        <v>0.87</v>
      </c>
      <c r="H22" s="491">
        <v>0.435</v>
      </c>
      <c r="I22" s="489" t="s"/>
    </row>
    <row r="23" spans="1:9" ht="30" customHeight="1">
      <c r="A23" s="187" t="s"/>
      <c r="B23" s="522" t="s">
        <v>200</v>
      </c>
      <c r="C23" s="41" t="s"/>
      <c r="D23" s="41" t="s"/>
      <c r="E23" s="490" t="s">
        <v>130</v>
      </c>
      <c r="F23" s="523" t="s">
        <v>391</v>
      </c>
      <c r="G23" s="504">
        <v>0.87</v>
      </c>
      <c r="H23" s="491">
        <v>0.435</v>
      </c>
      <c r="I23" s="489" t="s"/>
    </row>
    <row r="24" spans="1:9" ht="30" customHeight="1">
      <c r="A24" s="187" t="s"/>
      <c r="B24" s="438" t="s">
        <v>108</v>
      </c>
      <c r="C24" s="162" t="s"/>
      <c r="D24" s="162" t="s"/>
      <c r="E24" s="490" t="s">
        <v>71</v>
      </c>
      <c r="F24" s="490" t="s">
        <v>389</v>
      </c>
      <c r="G24" s="504">
        <v>0.87</v>
      </c>
      <c r="H24" s="491">
        <v>0.435</v>
      </c>
      <c r="I24" s="489" t="s"/>
    </row>
    <row r="25" spans="1:9" ht="30" customHeight="1">
      <c r="A25" s="187" t="s"/>
      <c r="B25" s="490" t="s">
        <v>133</v>
      </c>
      <c r="C25" s="41" t="s"/>
      <c r="D25" s="41" t="s"/>
      <c r="E25" s="490" t="s">
        <v>56</v>
      </c>
      <c r="F25" s="490" t="s">
        <v>392</v>
      </c>
      <c r="G25" s="504">
        <v>0.87</v>
      </c>
      <c r="H25" s="491">
        <v>0.435</v>
      </c>
      <c r="I25" s="497" t="s"/>
    </row>
    <row r="26" spans="1:9" ht="30" customHeight="1">
      <c r="A26" s="500" t="s">
        <v>315</v>
      </c>
      <c r="B26" s="492" t="s">
        <v>46</v>
      </c>
      <c r="C26" s="41" t="s"/>
      <c r="D26" s="41" t="s"/>
      <c r="E26" s="492" t="s">
        <v>101</v>
      </c>
      <c r="F26" s="492" t="s">
        <v>393</v>
      </c>
      <c r="G26" s="493">
        <v>0.87</v>
      </c>
      <c r="H26" s="491">
        <v>0.348</v>
      </c>
      <c r="I26" s="489" t="s"/>
    </row>
    <row r="27" spans="1:9" ht="30" customHeight="1">
      <c r="A27" s="187" t="s"/>
      <c r="B27" s="492" t="s">
        <v>170</v>
      </c>
      <c r="C27" s="41" t="s"/>
      <c r="D27" s="41" t="s"/>
      <c r="E27" s="492" t="s">
        <v>101</v>
      </c>
      <c r="F27" s="492" t="s">
        <v>394</v>
      </c>
      <c r="G27" s="493">
        <v>0.87</v>
      </c>
      <c r="H27" s="491">
        <v>0.348</v>
      </c>
      <c r="I27" s="489" t="s"/>
    </row>
    <row r="28" spans="1:9" ht="30" customHeight="1">
      <c r="A28" s="187" t="s"/>
      <c r="B28" s="492" t="s">
        <v>348</v>
      </c>
      <c r="C28" s="41" t="s"/>
      <c r="D28" s="41" t="s"/>
      <c r="E28" s="492" t="s">
        <v>131</v>
      </c>
      <c r="F28" s="492" t="s">
        <v>395</v>
      </c>
      <c r="G28" s="493">
        <v>0.87</v>
      </c>
      <c r="H28" s="491">
        <v>0.348</v>
      </c>
      <c r="I28" s="489" t="s"/>
    </row>
    <row r="29" spans="1:9" ht="30" customHeight="1">
      <c r="A29" s="187" t="s"/>
      <c r="B29" s="492" t="s">
        <v>187</v>
      </c>
      <c r="C29" s="37" t="s"/>
      <c r="D29" s="54" t="s">
        <v>29</v>
      </c>
      <c r="E29" s="492" t="s">
        <v>102</v>
      </c>
      <c r="F29" s="492" t="s">
        <v>396</v>
      </c>
      <c r="G29" s="493">
        <v>0.87</v>
      </c>
      <c r="H29" s="491">
        <v>0.348</v>
      </c>
      <c r="I29" s="489" t="s"/>
    </row>
    <row r="30" spans="1:9" ht="30" hidden="1" customHeight="1">
      <c r="A30" s="503" t="s"/>
      <c r="B30" s="37" t="s"/>
      <c r="C30" s="37" t="s"/>
      <c r="D30" s="54" t="s">
        <v>81</v>
      </c>
      <c r="E30" s="492" t="s">
        <v>150</v>
      </c>
      <c r="F30" s="492" t="s">
        <v>397</v>
      </c>
      <c r="G30" s="37" t="s"/>
      <c r="H30" s="37" t="s"/>
      <c r="I30" s="489" t="s"/>
    </row>
    <row r="31" spans="1:23" ht="30" customHeight="1">
      <c r="A31" s="524" t="s">
        <v>324</v>
      </c>
      <c r="B31" s="525" t="s">
        <v>180</v>
      </c>
      <c r="C31" s="37" t="s"/>
      <c r="D31" s="526" t="s">
        <v>29</v>
      </c>
      <c r="E31" s="525" t="s">
        <v>398</v>
      </c>
      <c r="F31" s="525" t="s">
        <v>399</v>
      </c>
      <c r="G31" s="527">
        <v>0.87</v>
      </c>
      <c r="H31" s="528">
        <v>0.37</v>
      </c>
      <c r="I31" s="529" t="s"/>
      <c r="J31" s="396" t="s"/>
      <c r="K31" s="396" t="s"/>
      <c r="L31" s="396" t="s"/>
      <c r="M31" s="396" t="s"/>
      <c r="N31" s="396" t="s"/>
      <c r="O31" s="396" t="s"/>
      <c r="P31" s="396" t="s"/>
      <c r="Q31" s="396" t="s"/>
      <c r="R31" s="396" t="s"/>
      <c r="S31" s="396" t="s"/>
      <c r="T31" s="396" t="s"/>
      <c r="U31" s="396" t="s"/>
      <c r="V31" s="396" t="s"/>
      <c r="W31" s="396" t="s"/>
    </row>
    <row r="32" spans="1:23" ht="30" customHeight="1">
      <c r="A32" s="37" t="s"/>
      <c r="B32" s="37" t="s"/>
      <c r="C32" s="37" t="s"/>
      <c r="D32" s="526" t="s">
        <v>400</v>
      </c>
      <c r="E32" s="37" t="s"/>
      <c r="F32" s="37" t="s"/>
      <c r="G32" s="530">
        <v>1</v>
      </c>
      <c r="H32" s="531">
        <v>0.425</v>
      </c>
      <c r="I32" s="532" t="s"/>
      <c r="J32" s="409" t="s"/>
      <c r="K32" s="409" t="s"/>
      <c r="L32" s="409" t="s"/>
      <c r="M32" s="409" t="s"/>
      <c r="N32" s="409" t="s"/>
      <c r="O32" s="409" t="s"/>
      <c r="P32" s="409" t="s"/>
      <c r="Q32" s="409" t="s"/>
      <c r="R32" s="409" t="s"/>
      <c r="S32" s="409" t="s"/>
      <c r="T32" s="409" t="s"/>
      <c r="U32" s="409" t="s"/>
      <c r="V32" s="409" t="s"/>
      <c r="W32" s="409" t="s"/>
    </row>
    <row r="33" spans="1:23" ht="30" customHeight="1">
      <c r="A33" s="37" t="s"/>
      <c r="B33" s="533" t="s">
        <v>401</v>
      </c>
      <c r="C33" s="37" t="s"/>
      <c r="D33" s="37" t="s"/>
      <c r="E33" s="492" t="s">
        <v>398</v>
      </c>
      <c r="F33" s="492" t="s">
        <v>402</v>
      </c>
      <c r="G33" s="493">
        <v>0.87</v>
      </c>
      <c r="H33" s="534">
        <v>0.425</v>
      </c>
      <c r="I33" s="489" t="s"/>
      <c r="J33" s="396" t="s"/>
      <c r="K33" s="396" t="s"/>
      <c r="L33" s="396" t="s"/>
      <c r="M33" s="396" t="s"/>
      <c r="N33" s="396" t="s"/>
      <c r="O33" s="396" t="s"/>
      <c r="P33" s="396" t="s"/>
      <c r="Q33" s="396" t="s"/>
      <c r="R33" s="396" t="s"/>
      <c r="S33" s="396" t="s"/>
      <c r="T33" s="396" t="s"/>
      <c r="U33" s="396" t="s"/>
      <c r="V33" s="396" t="s"/>
      <c r="W33" s="396" t="s"/>
    </row>
    <row r="34" spans="1:23" ht="30" customHeight="1">
      <c r="A34" s="37" t="s"/>
      <c r="B34" s="535" t="s">
        <v>228</v>
      </c>
      <c r="C34" s="37" t="s"/>
      <c r="D34" s="536" t="s">
        <v>29</v>
      </c>
      <c r="E34" s="492" t="s">
        <v>71</v>
      </c>
      <c r="F34" s="537" t="s">
        <v>403</v>
      </c>
      <c r="G34" s="493">
        <v>0.87</v>
      </c>
      <c r="H34" s="491">
        <v>0.37</v>
      </c>
      <c r="I34" s="489" t="s"/>
      <c r="J34" s="396" t="s"/>
      <c r="K34" s="396" t="s"/>
      <c r="L34" s="396" t="s"/>
      <c r="M34" s="396" t="s"/>
      <c r="N34" s="396" t="s"/>
      <c r="O34" s="396" t="s"/>
      <c r="P34" s="396" t="s"/>
      <c r="Q34" s="396" t="s"/>
      <c r="R34" s="396" t="s"/>
      <c r="S34" s="396" t="s"/>
      <c r="T34" s="396" t="s"/>
      <c r="U34" s="396" t="s"/>
      <c r="V34" s="396" t="s"/>
      <c r="W34" s="396" t="s"/>
    </row>
    <row r="35" spans="1:23" ht="30" customHeight="1">
      <c r="A35" s="37" t="s"/>
      <c r="B35" s="37" t="s"/>
      <c r="C35" s="37" t="s"/>
      <c r="D35" s="533" t="s">
        <v>400</v>
      </c>
      <c r="E35" s="37" t="s"/>
      <c r="F35" s="37" t="s"/>
      <c r="G35" s="530">
        <v>1</v>
      </c>
      <c r="H35" s="531">
        <v>0.425</v>
      </c>
      <c r="I35" s="538" t="s"/>
      <c r="J35" s="409" t="s"/>
      <c r="K35" s="409" t="s"/>
      <c r="L35" s="409" t="s"/>
      <c r="M35" s="409" t="s"/>
      <c r="N35" s="409" t="s"/>
      <c r="O35" s="409" t="s"/>
      <c r="P35" s="409" t="s"/>
      <c r="Q35" s="409" t="s"/>
      <c r="R35" s="409" t="s"/>
      <c r="S35" s="409" t="s"/>
      <c r="T35" s="409" t="s"/>
      <c r="U35" s="409" t="s"/>
      <c r="V35" s="409" t="s"/>
      <c r="W35" s="409" t="s"/>
    </row>
    <row r="36" spans="1:23" ht="30" customHeight="1">
      <c r="A36" s="539" t="s">
        <v>329</v>
      </c>
      <c r="B36" s="540" t="s">
        <v>194</v>
      </c>
      <c r="C36" s="342" t="s"/>
      <c r="D36" s="536" t="s">
        <v>29</v>
      </c>
      <c r="E36" s="492" t="s">
        <v>404</v>
      </c>
      <c r="F36" s="492" t="s">
        <v>405</v>
      </c>
      <c r="G36" s="493">
        <v>0.87</v>
      </c>
      <c r="H36" s="534">
        <v>0.87</v>
      </c>
      <c r="I36" s="489" t="s"/>
      <c r="J36" s="396" t="s"/>
      <c r="K36" s="396" t="s"/>
      <c r="L36" s="396" t="s"/>
      <c r="M36" s="396" t="s"/>
      <c r="N36" s="396" t="s"/>
      <c r="O36" s="396" t="s"/>
      <c r="P36" s="396" t="s"/>
      <c r="Q36" s="396" t="s"/>
      <c r="R36" s="396" t="s"/>
      <c r="S36" s="396" t="s"/>
      <c r="T36" s="396" t="s"/>
      <c r="U36" s="396" t="s"/>
      <c r="V36" s="396" t="s"/>
      <c r="W36" s="396" t="s"/>
    </row>
    <row r="37" spans="1:23" ht="30" customHeight="1">
      <c r="A37" s="503" t="s"/>
      <c r="B37" s="400" t="s"/>
      <c r="C37" s="401" t="s"/>
      <c r="D37" s="536" t="s">
        <v>81</v>
      </c>
      <c r="E37" s="492" t="s">
        <v>67</v>
      </c>
      <c r="F37" s="492" t="s">
        <v>406</v>
      </c>
      <c r="G37" s="493">
        <v>0.87</v>
      </c>
      <c r="H37" s="534">
        <v>0.87</v>
      </c>
      <c r="I37" s="489" t="s"/>
      <c r="J37" s="396" t="s"/>
      <c r="K37" s="396" t="s"/>
      <c r="L37" s="396" t="s"/>
      <c r="M37" s="396" t="s"/>
      <c r="N37" s="396" t="s"/>
      <c r="O37" s="396" t="s"/>
      <c r="P37" s="396" t="s"/>
      <c r="Q37" s="396" t="s"/>
      <c r="R37" s="396" t="s"/>
      <c r="S37" s="396" t="s"/>
      <c r="T37" s="396" t="s"/>
      <c r="U37" s="396" t="s"/>
      <c r="V37" s="396" t="s"/>
      <c r="W37" s="396" t="s"/>
    </row>
    <row r="38" spans="1:23" ht="40.5" customHeight="1">
      <c r="A38" s="37" t="s"/>
      <c r="B38" s="541" t="s">
        <v>212</v>
      </c>
      <c r="C38" s="37" t="s"/>
      <c r="D38" s="536" t="s">
        <v>29</v>
      </c>
      <c r="E38" s="525" t="s">
        <v>407</v>
      </c>
      <c r="F38" s="525" t="s">
        <v>208</v>
      </c>
      <c r="G38" s="527">
        <v>0.87</v>
      </c>
      <c r="H38" s="542" t="s">
        <v>408</v>
      </c>
      <c r="I38" s="543" t="s"/>
      <c r="J38" s="396" t="s"/>
      <c r="K38" s="396" t="s"/>
      <c r="L38" s="396" t="s"/>
      <c r="M38" s="396" t="s"/>
      <c r="N38" s="396" t="s"/>
      <c r="O38" s="396" t="s"/>
      <c r="P38" s="396" t="s"/>
      <c r="Q38" s="396" t="s"/>
      <c r="R38" s="396" t="s"/>
      <c r="S38" s="396" t="s"/>
      <c r="T38" s="396" t="s"/>
      <c r="U38" s="396" t="s"/>
      <c r="V38" s="396" t="s"/>
      <c r="W38" s="396" t="s"/>
    </row>
    <row r="39" spans="1:23" ht="39" customHeight="1">
      <c r="A39" s="330" t="s"/>
      <c r="B39" s="37" t="s"/>
      <c r="C39" s="37" t="s"/>
      <c r="D39" s="533" t="s">
        <v>400</v>
      </c>
      <c r="E39" s="37" t="s"/>
      <c r="F39" s="37" t="s"/>
      <c r="G39" s="530">
        <v>1</v>
      </c>
      <c r="H39" s="542" t="s">
        <v>409</v>
      </c>
      <c r="I39" s="544" t="s"/>
      <c r="J39" s="409" t="s"/>
      <c r="K39" s="409" t="s"/>
      <c r="L39" s="409" t="s"/>
      <c r="M39" s="409" t="s"/>
      <c r="N39" s="409" t="s"/>
      <c r="O39" s="409" t="s"/>
      <c r="P39" s="409" t="s"/>
      <c r="Q39" s="409" t="s"/>
      <c r="R39" s="409" t="s"/>
      <c r="S39" s="409" t="s"/>
      <c r="T39" s="409" t="s"/>
      <c r="U39" s="409" t="s"/>
      <c r="V39" s="409" t="s"/>
      <c r="W39" s="409" t="s"/>
    </row>
    <row r="40" spans="1:9" ht="30" customHeight="1">
      <c r="A40" s="37" t="s"/>
      <c r="B40" s="492" t="s">
        <v>245</v>
      </c>
      <c r="C40" s="37" t="s"/>
      <c r="D40" s="536" t="s">
        <v>29</v>
      </c>
      <c r="E40" s="492" t="s">
        <v>44</v>
      </c>
      <c r="F40" s="492" t="s">
        <v>410</v>
      </c>
      <c r="G40" s="493">
        <v>0.87</v>
      </c>
      <c r="H40" s="491">
        <v>0.304</v>
      </c>
      <c r="I40" s="489" t="s"/>
    </row>
    <row r="41" spans="1:9" ht="30" customHeight="1">
      <c r="A41" s="503" t="s"/>
      <c r="B41" s="37" t="s"/>
      <c r="C41" s="37" t="s"/>
      <c r="D41" s="533" t="s">
        <v>400</v>
      </c>
      <c r="E41" s="37" t="s"/>
      <c r="F41" s="37" t="s"/>
      <c r="G41" s="530">
        <v>1</v>
      </c>
      <c r="H41" s="491">
        <v>0.35</v>
      </c>
      <c r="I41" s="489" t="s"/>
    </row>
    <row r="42" spans="1:9" ht="30" customHeight="1">
      <c r="A42" s="37" t="s"/>
      <c r="B42" s="489" t="s">
        <v>278</v>
      </c>
      <c r="C42" s="37" t="s"/>
      <c r="D42" s="545" t="s">
        <v>29</v>
      </c>
      <c r="E42" s="489" t="s">
        <v>44</v>
      </c>
      <c r="F42" s="489" t="s">
        <v>395</v>
      </c>
      <c r="G42" s="491">
        <v>0.87</v>
      </c>
      <c r="H42" s="491">
        <v>0.304</v>
      </c>
      <c r="I42" s="489" t="s"/>
    </row>
    <row r="43" spans="1:9" ht="30" customHeight="1">
      <c r="A43" s="503" t="s"/>
      <c r="B43" s="37" t="s"/>
      <c r="C43" s="37" t="s"/>
      <c r="D43" s="546" t="s">
        <v>400</v>
      </c>
      <c r="E43" s="37" t="s"/>
      <c r="F43" s="37" t="s"/>
      <c r="G43" s="531">
        <v>1</v>
      </c>
      <c r="H43" s="491">
        <v>0.35</v>
      </c>
      <c r="I43" s="489" t="s"/>
    </row>
    <row r="44" spans="1:9" ht="30" customHeight="1">
      <c r="A44" s="37" t="s"/>
      <c r="B44" s="489" t="s">
        <v>411</v>
      </c>
      <c r="C44" s="37" t="s"/>
      <c r="D44" s="545" t="s">
        <v>29</v>
      </c>
      <c r="E44" s="489" t="s">
        <v>131</v>
      </c>
      <c r="F44" s="489" t="s">
        <v>412</v>
      </c>
      <c r="G44" s="491">
        <v>0.87</v>
      </c>
      <c r="H44" s="491">
        <v>0.304</v>
      </c>
      <c r="I44" s="489" t="s"/>
    </row>
    <row r="45" spans="1:9" ht="30" customHeight="1">
      <c r="A45" s="503" t="s"/>
      <c r="B45" s="37" t="s"/>
      <c r="C45" s="37" t="s"/>
      <c r="D45" s="546" t="s">
        <v>400</v>
      </c>
      <c r="E45" s="37" t="s"/>
      <c r="F45" s="37" t="s"/>
      <c r="G45" s="531">
        <v>1</v>
      </c>
      <c r="H45" s="491">
        <v>0.35</v>
      </c>
      <c r="I45" s="489" t="s"/>
    </row>
    <row r="46" spans="1:9" ht="30" customHeight="1">
      <c r="A46" s="37" t="s"/>
      <c r="B46" s="489" t="s">
        <v>241</v>
      </c>
      <c r="C46" s="41" t="s"/>
      <c r="D46" s="41" t="s"/>
      <c r="E46" s="489" t="s">
        <v>186</v>
      </c>
      <c r="F46" s="489" t="s">
        <v>413</v>
      </c>
      <c r="G46" s="491">
        <v>0.87</v>
      </c>
      <c r="H46" s="491">
        <v>0.304</v>
      </c>
      <c r="I46" s="489" t="s"/>
    </row>
  </sheetData>
  <mergeCells count="61">
    <mergeCell ref="B5:D5"/>
    <mergeCell ref="B6:D6"/>
    <mergeCell ref="A21:A25"/>
    <mergeCell ref="B8:D8"/>
    <mergeCell ref="B9:D9"/>
    <mergeCell ref="B46:D46"/>
    <mergeCell ref="B20:D20"/>
    <mergeCell ref="B24:D24"/>
    <mergeCell ref="B25:D25"/>
    <mergeCell ref="B23:D23"/>
    <mergeCell ref="B26:D26"/>
    <mergeCell ref="B27:D27"/>
    <mergeCell ref="B22:D22"/>
    <mergeCell ref="B28:D28"/>
    <mergeCell ref="B7:D7"/>
    <mergeCell ref="B10:D10"/>
    <mergeCell ref="B21:D21"/>
    <mergeCell ref="B15:C16"/>
    <mergeCell ref="B29:C30"/>
    <mergeCell ref="G3:H3"/>
    <mergeCell ref="A3:A4"/>
    <mergeCell ref="B3:D4"/>
    <mergeCell ref="I3:I4"/>
    <mergeCell ref="G15:G16"/>
    <mergeCell ref="H15:H16"/>
    <mergeCell ref="G29:G30"/>
    <mergeCell ref="B31:C32"/>
    <mergeCell ref="A5:A12"/>
    <mergeCell ref="B11:C12"/>
    <mergeCell ref="B34:C35"/>
    <mergeCell ref="E31:E32"/>
    <mergeCell ref="E34:E35"/>
    <mergeCell ref="F31:F32"/>
    <mergeCell ref="F34:F35"/>
    <mergeCell ref="A31:A35"/>
    <mergeCell ref="B33:D33"/>
    <mergeCell ref="B38:C39"/>
    <mergeCell ref="E38:E39"/>
    <mergeCell ref="F38:F39"/>
    <mergeCell ref="H29:H30"/>
    <mergeCell ref="B40:C41"/>
    <mergeCell ref="B42:C43"/>
    <mergeCell ref="B44:C45"/>
    <mergeCell ref="E40:E41"/>
    <mergeCell ref="E42:E43"/>
    <mergeCell ref="F40:F41"/>
    <mergeCell ref="E44:E45"/>
    <mergeCell ref="F42:F43"/>
    <mergeCell ref="F44:F45"/>
    <mergeCell ref="A26:A30"/>
    <mergeCell ref="G11:G12"/>
    <mergeCell ref="H11:H12"/>
    <mergeCell ref="A1:I1"/>
    <mergeCell ref="A2:H2"/>
    <mergeCell ref="A36:A46"/>
    <mergeCell ref="B36:C37"/>
    <mergeCell ref="B13:C14"/>
    <mergeCell ref="B17:C19"/>
    <mergeCell ref="G17:G19"/>
    <mergeCell ref="H17:H19"/>
    <mergeCell ref="A13:A20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2026-05-10T17:50:44Z</dcterms:created>
  <dcterms:modified xsi:type="dcterms:W3CDTF">2026-05-10T17:50:44Z</dcterms:modified>
</cp:coreProperties>
</file>